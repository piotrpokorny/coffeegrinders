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łynki" sheetId="1" state="visible" r:id="rId3"/>
    <sheet name="Legenda" sheetId="2" state="visible" r:id="rId4"/>
  </sheets>
  <definedNames>
    <definedName function="false" hidden="true" localSheetId="0" name="_xlnm._FilterDatabase" vbProcedure="false">Młynki!$A$1:$Q$51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<sst xmlns="http://schemas.openxmlformats.org/spreadsheetml/2006/main" count="364" uniqueCount="186">
  <si>
    <t xml:space="preserve">Lp</t>
  </si>
  <si>
    <t xml:space="preserve">Producent</t>
  </si>
  <si>
    <t xml:space="preserve">Model</t>
  </si>
  <si>
    <t xml:space="preserve">Typ</t>
  </si>
  <si>
    <t xml:space="preserve">Rodzaj regulacji</t>
  </si>
  <si>
    <t xml:space="preserve">Kliki/kroki na obrót</t>
  </si>
  <si>
    <t xml:space="preserve">Łączna liczba kroków</t>
  </si>
  <si>
    <t xml:space="preserve">µm na krok (deklarowane)</t>
  </si>
  <si>
    <t xml:space="preserve">Zakres min (µm)</t>
  </si>
  <si>
    <t xml:space="preserve">Zakres max (µm)</t>
  </si>
  <si>
    <t xml:space="preserve">µm na krok (wyliczone z zakresu)</t>
  </si>
  <si>
    <t xml:space="preserve">Pewność danych</t>
  </si>
  <si>
    <t xml:space="preserve">Uwagi i źródło</t>
  </si>
  <si>
    <t xml:space="preserve">Zakres wg HCG min (µm)</t>
  </si>
  <si>
    <t xml:space="preserve">Zakres wg HCG max (µm)</t>
  </si>
  <si>
    <t xml:space="preserve">Format skali wg HCG</t>
  </si>
  <si>
    <t xml:space="preserve">µm/krok z zakresu HCG (wyliczone)</t>
  </si>
  <si>
    <t xml:space="preserve">Comandante</t>
  </si>
  <si>
    <t xml:space="preserve">C40 MK4</t>
  </si>
  <si>
    <t xml:space="preserve">ręczny</t>
  </si>
  <si>
    <t xml:space="preserve">kliki (wewn.)</t>
  </si>
  <si>
    <t xml:space="preserve">B</t>
  </si>
  <si>
    <t xml:space="preserve">15 µm z osią Red Clix. Kliki/obrót do weryfikacji. Źródło: thewaytocoffee.com, coffeecoachingclub.ch</t>
  </si>
  <si>
    <t xml:space="preserve">kliki od zera; wersja bez Red Clix</t>
  </si>
  <si>
    <t xml:space="preserve">1Zpresso</t>
  </si>
  <si>
    <t xml:space="preserve">J-Ultra</t>
  </si>
  <si>
    <t xml:space="preserve">kliki (zewn. skala)</t>
  </si>
  <si>
    <t xml:space="preserve">5 obrotów po 100 klików. Źródło: espressoadvice.com</t>
  </si>
  <si>
    <t xml:space="preserve">rotacja.numer.tick (np. 1.3.2)</t>
  </si>
  <si>
    <t xml:space="preserve">J-Max</t>
  </si>
  <si>
    <t xml:space="preserve">C</t>
  </si>
  <si>
    <t xml:space="preserve">Z pamięci, zweryfikować u producenta</t>
  </si>
  <si>
    <t xml:space="preserve">JX-Pro</t>
  </si>
  <si>
    <t xml:space="preserve">Źródło: cremaandgrind.com</t>
  </si>
  <si>
    <t xml:space="preserve">JX</t>
  </si>
  <si>
    <t xml:space="preserve">Z pamięci, zweryfikować</t>
  </si>
  <si>
    <t xml:space="preserve">J</t>
  </si>
  <si>
    <t xml:space="preserve">Źródło: thewaytocoffee.com</t>
  </si>
  <si>
    <t xml:space="preserve">K-Ultra</t>
  </si>
  <si>
    <t xml:space="preserve">Źródło: thewaytocoffee.com, cremaandgrind.com</t>
  </si>
  <si>
    <t xml:space="preserve">rotacja.numer.tick (np. 0.3.2)</t>
  </si>
  <si>
    <t xml:space="preserve">K-Max</t>
  </si>
  <si>
    <t xml:space="preserve">rotacja.numer.tick (np. 1.3.2), skala ok. 1,8 obrotu</t>
  </si>
  <si>
    <t xml:space="preserve">K-Plus</t>
  </si>
  <si>
    <t xml:space="preserve">Źródło: forum home-barista.com (wartość z recenzji)</t>
  </si>
  <si>
    <t xml:space="preserve">K-Pro</t>
  </si>
  <si>
    <t xml:space="preserve">Q Air</t>
  </si>
  <si>
    <t xml:space="preserve">Źródło: Tom's Guide</t>
  </si>
  <si>
    <t xml:space="preserve">Q2</t>
  </si>
  <si>
    <t xml:space="preserve">Brak potwierdzonych danych</t>
  </si>
  <si>
    <t xml:space="preserve">skala obrotów 0.0-4.0 (wersja z heptagonalnymi żarnami)</t>
  </si>
  <si>
    <t xml:space="preserve">KINGrinder</t>
  </si>
  <si>
    <t xml:space="preserve">K6</t>
  </si>
  <si>
    <t xml:space="preserve">A</t>
  </si>
  <si>
    <t xml:space="preserve">4 obroty po 60 klików; wartość podawana przez producenta</t>
  </si>
  <si>
    <t xml:space="preserve">obroty.kliki (np. 2.42 = 2 obroty + 42. klik)</t>
  </si>
  <si>
    <t xml:space="preserve">K4</t>
  </si>
  <si>
    <t xml:space="preserve">kliki</t>
  </si>
  <si>
    <t xml:space="preserve">obroty.kliki (np. 2.42)</t>
  </si>
  <si>
    <t xml:space="preserve">K2</t>
  </si>
  <si>
    <t xml:space="preserve">Źródło: completehomebarista.com. Kliki K2 nie przekładają się na K6</t>
  </si>
  <si>
    <t xml:space="preserve">brak szczegółów formatu w pobranym fragmencie</t>
  </si>
  <si>
    <t xml:space="preserve">Timemore</t>
  </si>
  <si>
    <t xml:space="preserve">Chestnut C2</t>
  </si>
  <si>
    <t xml:space="preserve">Źródło: coffeemaster.app; inne źródła podają ok. 36 kroków - do weryfikacji</t>
  </si>
  <si>
    <t xml:space="preserve">kliki 0-30+; serwis odradza ustawienia poniżej 6 klików</t>
  </si>
  <si>
    <t xml:space="preserve">Chestnut C3</t>
  </si>
  <si>
    <t xml:space="preserve">Źródło: cremaandgrind.com; inne źródła szacują ok. 30 µm</t>
  </si>
  <si>
    <t xml:space="preserve">kliki 0-24 na wykresie; poniżej 6 klików niezalecane</t>
  </si>
  <si>
    <t xml:space="preserve">C3 ESP Pro</t>
  </si>
  <si>
    <t xml:space="preserve">Źródło: espressoadvice.com</t>
  </si>
  <si>
    <t xml:space="preserve">Chestnut C5 Pro</t>
  </si>
  <si>
    <t xml:space="preserve">Źródło: coffeecoachingclub.ch</t>
  </si>
  <si>
    <t xml:space="preserve">Chestnut C5 ESP Pro</t>
  </si>
  <si>
    <t xml:space="preserve">obroty 0-3.0 + numer + tick</t>
  </si>
  <si>
    <t xml:space="preserve">Hario</t>
  </si>
  <si>
    <t xml:space="preserve">Skerton Pro</t>
  </si>
  <si>
    <t xml:space="preserve">nacięcia od zera</t>
  </si>
  <si>
    <t xml:space="preserve">Tylko zakres (honestcoffeeguide.com). Liczba kroków nieustalona</t>
  </si>
  <si>
    <t xml:space="preserve">Mini Mill Slim Pro</t>
  </si>
  <si>
    <t xml:space="preserve">kliki od zera</t>
  </si>
  <si>
    <t xml:space="preserve">Zakres: honestcoffeeguide.com; µm/krok wyliczone z zakresu</t>
  </si>
  <si>
    <t xml:space="preserve">Mini Mill Plus</t>
  </si>
  <si>
    <t xml:space="preserve">Brak danych</t>
  </si>
  <si>
    <t xml:space="preserve">kliki 0-20</t>
  </si>
  <si>
    <t xml:space="preserve">OXO</t>
  </si>
  <si>
    <t xml:space="preserve">Brew Hand Grinder</t>
  </si>
  <si>
    <t xml:space="preserve">Kinu</t>
  </si>
  <si>
    <t xml:space="preserve">M47</t>
  </si>
  <si>
    <t xml:space="preserve">obroty od zera co 0.5, do 8.5 (wersja Classic)</t>
  </si>
  <si>
    <t xml:space="preserve">Wacaco</t>
  </si>
  <si>
    <t xml:space="preserve">Exagrind</t>
  </si>
  <si>
    <t xml:space="preserve">kliki 0-60 na wykresie</t>
  </si>
  <si>
    <t xml:space="preserve">Baratza</t>
  </si>
  <si>
    <t xml:space="preserve">Encore</t>
  </si>
  <si>
    <t xml:space="preserve">elektryczny</t>
  </si>
  <si>
    <t xml:space="preserve">kroki (pierścień)</t>
  </si>
  <si>
    <t xml:space="preserve">Tabela porównawcza Baratza</t>
  </si>
  <si>
    <t xml:space="preserve">pokrętło 0-40</t>
  </si>
  <si>
    <t xml:space="preserve">Encore ESP</t>
  </si>
  <si>
    <t xml:space="preserve">kroki (pierścień, nieliniowe)</t>
  </si>
  <si>
    <t xml:space="preserve">Skala nieliniowa: powyżej kroku 20 zmiany są znacznie większe (prima-coffee.com)</t>
  </si>
  <si>
    <t xml:space="preserve">numery 1-40</t>
  </si>
  <si>
    <t xml:space="preserve">Virtuoso+</t>
  </si>
  <si>
    <t xml:space="preserve">pokrętło ok. 0-20+ z opisami; tabela Baratza podaje 200-1400 - rozbieżność</t>
  </si>
  <si>
    <t xml:space="preserve">Sette 270</t>
  </si>
  <si>
    <t xml:space="preserve">30 makro x 9 mikro</t>
  </si>
  <si>
    <t xml:space="preserve">Sette 30</t>
  </si>
  <si>
    <t xml:space="preserve">Bez mikroregulacji (prima-coffee.com)</t>
  </si>
  <si>
    <t xml:space="preserve">numeracja co 2: 1,3,...,31</t>
  </si>
  <si>
    <t xml:space="preserve">Vario</t>
  </si>
  <si>
    <t xml:space="preserve">10 makro x 23 mikro</t>
  </si>
  <si>
    <t xml:space="preserve">Forte AP</t>
  </si>
  <si>
    <t xml:space="preserve">10 makro x 26 mikro</t>
  </si>
  <si>
    <t xml:space="preserve">Breville / Sage</t>
  </si>
  <si>
    <t xml:space="preserve">Smart Grinder Pro</t>
  </si>
  <si>
    <t xml:space="preserve">Zakres: honestcoffeeguide.com; 60 ustawień wg producenta</t>
  </si>
  <si>
    <t xml:space="preserve">Dose Control Pro</t>
  </si>
  <si>
    <t xml:space="preserve">liczba ustawień nie podana w pobranym fragmencie</t>
  </si>
  <si>
    <t xml:space="preserve">Fellow</t>
  </si>
  <si>
    <t xml:space="preserve">Ode Gen 2</t>
  </si>
  <si>
    <t xml:space="preserve">kroki (pokrętło)</t>
  </si>
  <si>
    <t xml:space="preserve">Liczba ustawień z zestawienia recenzenckiego</t>
  </si>
  <si>
    <t xml:space="preserve">11 numerów na skali (wewn. kroki pośrednie)</t>
  </si>
  <si>
    <t xml:space="preserve">Opus</t>
  </si>
  <si>
    <t xml:space="preserve">11 numerów na skali</t>
  </si>
  <si>
    <t xml:space="preserve">Brew Conical Burr</t>
  </si>
  <si>
    <t xml:space="preserve">15 ustawień z półkrokami</t>
  </si>
  <si>
    <t xml:space="preserve">60-70 µm na klik (beeancoffee.com); zakres: honestcoffeeguide.com</t>
  </si>
  <si>
    <t xml:space="preserve">Wilfa</t>
  </si>
  <si>
    <t xml:space="preserve">Svart Aroma</t>
  </si>
  <si>
    <t xml:space="preserve">kroki (kropki)</t>
  </si>
  <si>
    <t xml:space="preserve">Źródło: honestcoffeeguide.com. Numeracja idzie w przeciwną stronę</t>
  </si>
  <si>
    <t xml:space="preserve">Svart</t>
  </si>
  <si>
    <t xml:space="preserve">Źródło: honestcoffeeguide.com</t>
  </si>
  <si>
    <t xml:space="preserve">De'Longhi</t>
  </si>
  <si>
    <t xml:space="preserve">KG79</t>
  </si>
  <si>
    <t xml:space="preserve">kliki 0-16</t>
  </si>
  <si>
    <t xml:space="preserve">Zamiana z Dedica KG521 (brak danych) na KG79. Zakres 365-1250 µm i 17 pozycji: honestcoffeeguide.com</t>
  </si>
  <si>
    <t xml:space="preserve">kliki 0-16 (17 pozycji)</t>
  </si>
  <si>
    <t xml:space="preserve">Niche</t>
  </si>
  <si>
    <t xml:space="preserve">Zero</t>
  </si>
  <si>
    <t xml:space="preserve">stepless (tarcza 0-50)</t>
  </si>
  <si>
    <t xml:space="preserve">Ok. 50 oznaczeń na obrót. µm na oznaczenie nieustalone</t>
  </si>
  <si>
    <t xml:space="preserve">obroty.oznaczenie (np. 1.22), tarcza 0-50, µm na oznaczenie nie podane</t>
  </si>
  <si>
    <t xml:space="preserve">Eureka</t>
  </si>
  <si>
    <t xml:space="preserve">Mignon Specialita</t>
  </si>
  <si>
    <t xml:space="preserve">stepless (mikrometryczna)</t>
  </si>
  <si>
    <t xml:space="preserve">Źródło wspomina 4-5 µm na ruch pokrętła, wiarygodność niska</t>
  </si>
  <si>
    <t xml:space="preserve">obroty+numer (np. 1+4), skala do 4+0, µm na krok nie podane</t>
  </si>
  <si>
    <t xml:space="preserve">Mignon Zero</t>
  </si>
  <si>
    <t xml:space="preserve">Brak danych o µm</t>
  </si>
  <si>
    <t xml:space="preserve">Turin / DF</t>
  </si>
  <si>
    <t xml:space="preserve">DF64 Gen 2</t>
  </si>
  <si>
    <t xml:space="preserve">stepless (pierścień)</t>
  </si>
  <si>
    <t xml:space="preserve">tabela ustawień nie wyświetliła się w pobranym fragmencie</t>
  </si>
  <si>
    <t xml:space="preserve">Sculptor 064S</t>
  </si>
  <si>
    <t xml:space="preserve">kliki (wg beeancoffee) / skala numerowana</t>
  </si>
  <si>
    <t xml:space="preserve">beeancoffee.com: stepped, ok. 5 µm na klik, zakres z zaleceń 180-900 µm. honestcoffeeguide.com: zakres 235-1035 µm, skala numerowana, brak µm na krok w pobranym fragmencie. Źródła różnią się o ok. 55-135 µm na krańcach zakresu - zakresu nie wpisano, do pomiaru.</t>
  </si>
  <si>
    <t xml:space="preserve">skala numerowana; brak µm na krok w pobranym fragmencie</t>
  </si>
  <si>
    <t xml:space="preserve">Mahlkönig</t>
  </si>
  <si>
    <t xml:space="preserve">EK43</t>
  </si>
  <si>
    <t xml:space="preserve">stepless (skala 0-11)</t>
  </si>
  <si>
    <t xml:space="preserve">skala 1-11 (wariant 1-11)</t>
  </si>
  <si>
    <t xml:space="preserve">Mazzer</t>
  </si>
  <si>
    <t xml:space="preserve">Mini</t>
  </si>
  <si>
    <t xml:space="preserve">Rancilio</t>
  </si>
  <si>
    <t xml:space="preserve">Rocky</t>
  </si>
  <si>
    <t xml:space="preserve">Liczba kroków do ustalenia</t>
  </si>
  <si>
    <t xml:space="preserve">Cuisinart</t>
  </si>
  <si>
    <t xml:space="preserve">DBM-8</t>
  </si>
  <si>
    <t xml:space="preserve">kroki</t>
  </si>
  <si>
    <t xml:space="preserve">18 ustawień (kropki), wykres do 12</t>
  </si>
  <si>
    <t xml:space="preserve">LEGENDA I OGRANICZENIA</t>
  </si>
  <si>
    <t xml:space="preserve">Pewność A: wartość z oficjalnej specyfikacji producenta (lub tabeli producenta).</t>
  </si>
  <si>
    <t xml:space="preserve">Pewność B: wartość z recenzji lub testów, spójna w co najmniej jednym źródle. Do potwierdzenia przed użyciem w aplikacji.</t>
  </si>
  <si>
    <t xml:space="preserve">Pewność C: dane niepotwierdzone lub z pamięci modelu. Nie używać bez weryfikacji.</t>
  </si>
  <si>
    <t xml:space="preserve">Niebieska czcionka: wartości wpisane ręcznie. Kolumna K to formuła: (max - min) / (liczba kroków - 1), czyli średni krok, nie wartość deklarowana.</t>
  </si>
  <si>
    <t xml:space="preserve">Dobór 50 modeli to moja selekcja na podstawie rankingów i list rekomendacji, nie twardy ranking sprzedaży (takiego nie udało się znaleźć).</t>
  </si>
  <si>
    <t xml:space="preserve">UWAGA METODYCZNA: µm na klik to przesunięcie żaren względem siebie, a nie rozmiar cząstek. Przy innej geometrii i skoku gwintu to samo przesunięcie daje inny rozkład cząstek, więc przeliczanie między młynkami wyłącznie przez µm na klik będzie przybliżone.</t>
  </si>
  <si>
    <t xml:space="preserve">Młynki stepless (Niche, Eureka, DF64, EK43 i in.) nie mają skoku w µm. Wymagają kalibracji punktowej (pomiar sitami lub analizą cząstek).</t>
  </si>
  <si>
    <t xml:space="preserve">Źródła: thewaytocoffee.com, cremaandgrind.com, espressoadvice.com, coffeecoachingclub.ch, coffeemaster.app, completehomebarista.com, honestcoffeeguide.com, beeancoffee.com, prima-coffee.com, tabela porównawcza Baratza, forum home-barista.com, Tom's Guide.</t>
  </si>
  <si>
    <t xml:space="preserve">DODATKOWE KOLUMNY N-Q (honestcoffeeguide.com, pobrane 05.10.2026): zakres mikronów z wykresów serwisu i format odczytu skali.</t>
  </si>
  <si>
    <t xml:space="preserve">Serwis zbiera dane od użytkowników i z własnych pomiarów; zakresy zaczynające się od 0 to zwykle początek osi wykresu, nie rzeczywisty minimalny rozmiar mielenia.</t>
  </si>
  <si>
    <t xml:space="preserve">Serwis prawie nigdy nie podaje µm na klik. Kolumna Q to wyliczenie (max - min) / (liczba kroków - 1) i tylko tam, gdzie zakres nie zaczyna się od 0.</t>
  </si>
  <si>
    <t xml:space="preserve">Przy 1Zpresso i KINGrinder zakres cząstek podzielony przez liczbę klików daje wartość kilkukrotnie mniejszą niż deklarowane µm na klik (przesunięcie żaren) - to potwierdza, że obu wielkości nie wolno mieszać.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</si>
</sst>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11"/>
    <col collapsed="false" customWidth="true" hidden="false" outlineLevel="0" max="11" min="11" style="1" width="16"/>
    <col collapsed="false" customWidth="true" hidden="false" outlineLevel="0" max="12" min="12" style="1" width="11"/>
    <col collapsed="false" customWidth="true" hidden="false" outlineLevel="0" max="13" min="13" style="1" width="70"/>
    <col collapsed="false" customWidth="true" hidden="false" outlineLevel="0" max="15" min="14" style="0" width="12"/>
    <col collapsed="false" customWidth="true" hidden="false" outlineLevel="0" max="16" min="16" style="0" width="45"/>
    <col collapsed="false" customWidth="true" hidden="false" outlineLevel="0" max="17" min="17" style="0" width="16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25" hidden="false" customHeight="true" outlineLevel="0" collapsed="false">
      <c r="A2" s="3" t="n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4"/>
      <c r="G2" s="4"/>
      <c r="H2" s="5" t="n">
        <v>30</v>
      </c>
      <c r="I2" s="4"/>
      <c r="J2" s="4"/>
      <c r="K2" s="6" t="str">
        <f aca="false">IF(AND(ISNUMBER(G2),ISNUMBER(I2),ISNUMBER(J2)),(J2-I2)/(G2-1),"")</f>
        <v/>
      </c>
      <c r="L2" s="3" t="s">
        <v>21</v>
      </c>
      <c r="M2" s="7" t="s">
        <v>22</v>
      </c>
      <c r="N2" s="4" t="n">
        <v>0</v>
      </c>
      <c r="O2" s="4" t="n">
        <v>1090</v>
      </c>
      <c r="P2" s="7" t="s">
        <v>23</v>
      </c>
      <c r="Q2" s="6" t="str">
        <f aca="false">IF(AND(ISNUMBER(G2),ISNUMBER(N2),ISNUMBER(O2),N2&gt;0),(O2-N2)/(G2-1),"")</f>
        <v/>
      </c>
    </row>
    <row r="3" customFormat="false" ht="15" hidden="false" customHeight="true" outlineLevel="0" collapsed="false">
      <c r="A3" s="3" t="n">
        <v>2</v>
      </c>
      <c r="B3" s="3" t="s">
        <v>24</v>
      </c>
      <c r="C3" s="3" t="s">
        <v>25</v>
      </c>
      <c r="D3" s="3" t="s">
        <v>19</v>
      </c>
      <c r="E3" s="3" t="s">
        <v>26</v>
      </c>
      <c r="F3" s="4" t="n">
        <v>100</v>
      </c>
      <c r="G3" s="4" t="n">
        <v>500</v>
      </c>
      <c r="H3" s="5" t="n">
        <v>8</v>
      </c>
      <c r="I3" s="4"/>
      <c r="J3" s="4" t="n">
        <v>1230</v>
      </c>
      <c r="K3" s="6" t="str">
        <f aca="false">IF(AND(ISNUMBER(G3),ISNUMBER(I3),ISNUMBER(J3)),(J3-I3)/(G3-1),"")</f>
        <v/>
      </c>
      <c r="L3" s="3" t="s">
        <v>21</v>
      </c>
      <c r="M3" s="7" t="s">
        <v>27</v>
      </c>
      <c r="N3" s="4" t="n">
        <v>0</v>
      </c>
      <c r="O3" s="4" t="n">
        <v>1230</v>
      </c>
      <c r="P3" s="7" t="s">
        <v>28</v>
      </c>
      <c r="Q3" s="6" t="str">
        <f aca="false">IF(AND(ISNUMBER(G3),ISNUMBER(N3),ISNUMBER(O3),N3&gt;0),(O3-N3)/(G3-1),"")</f>
        <v/>
      </c>
    </row>
    <row r="4" customFormat="false" ht="15" hidden="false" customHeight="true" outlineLevel="0" collapsed="false">
      <c r="A4" s="3" t="n">
        <v>3</v>
      </c>
      <c r="B4" s="3" t="s">
        <v>24</v>
      </c>
      <c r="C4" s="3" t="s">
        <v>29</v>
      </c>
      <c r="D4" s="3" t="s">
        <v>19</v>
      </c>
      <c r="E4" s="3" t="s">
        <v>26</v>
      </c>
      <c r="F4" s="4" t="n">
        <v>90</v>
      </c>
      <c r="G4" s="4"/>
      <c r="H4" s="5" t="n">
        <v>8.8</v>
      </c>
      <c r="I4" s="4"/>
      <c r="J4" s="4"/>
      <c r="K4" s="6" t="str">
        <f aca="false">IF(AND(ISNUMBER(G4),ISNUMBER(I4),ISNUMBER(J4)),(J4-I4)/(G4-1),"")</f>
        <v/>
      </c>
      <c r="L4" s="3" t="s">
        <v>30</v>
      </c>
      <c r="M4" s="7" t="s">
        <v>31</v>
      </c>
      <c r="N4" s="4" t="n">
        <v>0</v>
      </c>
      <c r="O4" s="4" t="n">
        <v>1190</v>
      </c>
      <c r="P4" s="7" t="s">
        <v>28</v>
      </c>
      <c r="Q4" s="6" t="str">
        <f aca="false">IF(AND(ISNUMBER(G4),ISNUMBER(N4),ISNUMBER(O4),N4&gt;0),(O4-N4)/(G4-1),"")</f>
        <v/>
      </c>
    </row>
    <row r="5" customFormat="false" ht="15" hidden="false" customHeight="true" outlineLevel="0" collapsed="false">
      <c r="A5" s="3" t="n">
        <v>4</v>
      </c>
      <c r="B5" s="3" t="s">
        <v>24</v>
      </c>
      <c r="C5" s="3" t="s">
        <v>32</v>
      </c>
      <c r="D5" s="3" t="s">
        <v>19</v>
      </c>
      <c r="E5" s="3" t="s">
        <v>20</v>
      </c>
      <c r="F5" s="4" t="n">
        <v>40</v>
      </c>
      <c r="G5" s="4"/>
      <c r="H5" s="5" t="n">
        <v>12.5</v>
      </c>
      <c r="I5" s="4"/>
      <c r="J5" s="4"/>
      <c r="K5" s="6" t="str">
        <f aca="false">IF(AND(ISNUMBER(G5),ISNUMBER(I5),ISNUMBER(J5)),(J5-I5)/(G5-1),"")</f>
        <v/>
      </c>
      <c r="L5" s="3" t="s">
        <v>21</v>
      </c>
      <c r="M5" s="7" t="s">
        <v>33</v>
      </c>
      <c r="N5" s="4"/>
      <c r="O5" s="4"/>
      <c r="P5" s="7"/>
      <c r="Q5" s="6" t="str">
        <f aca="false">IF(AND(ISNUMBER(G5),ISNUMBER(N5),ISNUMBER(O5),N5&gt;0),(O5-N5)/(G5-1),"")</f>
        <v/>
      </c>
    </row>
    <row r="6" customFormat="false" ht="15" hidden="false" customHeight="true" outlineLevel="0" collapsed="false">
      <c r="A6" s="3" t="n">
        <v>5</v>
      </c>
      <c r="B6" s="3" t="s">
        <v>24</v>
      </c>
      <c r="C6" s="3" t="s">
        <v>34</v>
      </c>
      <c r="D6" s="3" t="s">
        <v>19</v>
      </c>
      <c r="E6" s="3" t="s">
        <v>20</v>
      </c>
      <c r="F6" s="4" t="n">
        <v>40</v>
      </c>
      <c r="G6" s="4"/>
      <c r="H6" s="5" t="n">
        <v>12.5</v>
      </c>
      <c r="I6" s="4"/>
      <c r="J6" s="4"/>
      <c r="K6" s="6" t="str">
        <f aca="false">IF(AND(ISNUMBER(G6),ISNUMBER(I6),ISNUMBER(J6)),(J6-I6)/(G6-1),"")</f>
        <v/>
      </c>
      <c r="L6" s="3" t="s">
        <v>30</v>
      </c>
      <c r="M6" s="7" t="s">
        <v>35</v>
      </c>
      <c r="N6" s="4" t="n">
        <v>0</v>
      </c>
      <c r="O6" s="4" t="n">
        <v>1080</v>
      </c>
      <c r="P6" s="7" t="s">
        <v>28</v>
      </c>
      <c r="Q6" s="6" t="str">
        <f aca="false">IF(AND(ISNUMBER(G6),ISNUMBER(N6),ISNUMBER(O6),N6&gt;0),(O6-N6)/(G6-1),"")</f>
        <v/>
      </c>
    </row>
    <row r="7" customFormat="false" ht="15" hidden="false" customHeight="true" outlineLevel="0" collapsed="false">
      <c r="A7" s="3" t="n">
        <v>6</v>
      </c>
      <c r="B7" s="3" t="s">
        <v>24</v>
      </c>
      <c r="C7" s="3" t="s">
        <v>36</v>
      </c>
      <c r="D7" s="3" t="s">
        <v>19</v>
      </c>
      <c r="E7" s="3" t="s">
        <v>20</v>
      </c>
      <c r="F7" s="4" t="n">
        <v>30</v>
      </c>
      <c r="G7" s="4"/>
      <c r="H7" s="5" t="n">
        <v>25</v>
      </c>
      <c r="I7" s="4"/>
      <c r="J7" s="4"/>
      <c r="K7" s="6" t="str">
        <f aca="false">IF(AND(ISNUMBER(G7),ISNUMBER(I7),ISNUMBER(J7)),(J7-I7)/(G7-1),"")</f>
        <v/>
      </c>
      <c r="L7" s="3" t="s">
        <v>21</v>
      </c>
      <c r="M7" s="7" t="s">
        <v>37</v>
      </c>
      <c r="N7" s="4"/>
      <c r="O7" s="4"/>
      <c r="P7" s="7"/>
      <c r="Q7" s="6" t="str">
        <f aca="false">IF(AND(ISNUMBER(G7),ISNUMBER(N7),ISNUMBER(O7),N7&gt;0),(O7-N7)/(G7-1),"")</f>
        <v/>
      </c>
    </row>
    <row r="8" customFormat="false" ht="15" hidden="false" customHeight="true" outlineLevel="0" collapsed="false">
      <c r="A8" s="3" t="n">
        <v>7</v>
      </c>
      <c r="B8" s="3" t="s">
        <v>24</v>
      </c>
      <c r="C8" s="3" t="s">
        <v>38</v>
      </c>
      <c r="D8" s="3" t="s">
        <v>19</v>
      </c>
      <c r="E8" s="3" t="s">
        <v>26</v>
      </c>
      <c r="F8" s="4" t="n">
        <v>100</v>
      </c>
      <c r="G8" s="4"/>
      <c r="H8" s="5" t="n">
        <v>20</v>
      </c>
      <c r="I8" s="4"/>
      <c r="J8" s="4"/>
      <c r="K8" s="6" t="str">
        <f aca="false">IF(AND(ISNUMBER(G8),ISNUMBER(I8),ISNUMBER(J8)),(J8-I8)/(G8-1),"")</f>
        <v/>
      </c>
      <c r="L8" s="3" t="s">
        <v>21</v>
      </c>
      <c r="M8" s="7" t="s">
        <v>39</v>
      </c>
      <c r="N8" s="4" t="n">
        <v>0</v>
      </c>
      <c r="O8" s="4" t="n">
        <v>760</v>
      </c>
      <c r="P8" s="7" t="s">
        <v>40</v>
      </c>
      <c r="Q8" s="6" t="str">
        <f aca="false">IF(AND(ISNUMBER(G8),ISNUMBER(N8),ISNUMBER(O8),N8&gt;0),(O8-N8)/(G8-1),"")</f>
        <v/>
      </c>
    </row>
    <row r="9" customFormat="false" ht="15" hidden="false" customHeight="true" outlineLevel="0" collapsed="false">
      <c r="A9" s="3" t="n">
        <v>8</v>
      </c>
      <c r="B9" s="3" t="s">
        <v>24</v>
      </c>
      <c r="C9" s="3" t="s">
        <v>41</v>
      </c>
      <c r="D9" s="3" t="s">
        <v>19</v>
      </c>
      <c r="E9" s="3" t="s">
        <v>26</v>
      </c>
      <c r="F9" s="4" t="n">
        <v>90</v>
      </c>
      <c r="G9" s="4"/>
      <c r="H9" s="5" t="n">
        <v>22</v>
      </c>
      <c r="I9" s="4"/>
      <c r="J9" s="4"/>
      <c r="K9" s="6" t="str">
        <f aca="false">IF(AND(ISNUMBER(G9),ISNUMBER(I9),ISNUMBER(J9)),(J9-I9)/(G9-1),"")</f>
        <v/>
      </c>
      <c r="L9" s="3" t="s">
        <v>30</v>
      </c>
      <c r="M9" s="7" t="s">
        <v>35</v>
      </c>
      <c r="N9" s="4" t="n">
        <v>0</v>
      </c>
      <c r="O9" s="4" t="n">
        <v>1400</v>
      </c>
      <c r="P9" s="7" t="s">
        <v>42</v>
      </c>
      <c r="Q9" s="6" t="str">
        <f aca="false">IF(AND(ISNUMBER(G9),ISNUMBER(N9),ISNUMBER(O9),N9&gt;0),(O9-N9)/(G9-1),"")</f>
        <v/>
      </c>
    </row>
    <row r="10" customFormat="false" ht="15" hidden="false" customHeight="true" outlineLevel="0" collapsed="false">
      <c r="A10" s="3" t="n">
        <v>9</v>
      </c>
      <c r="B10" s="3" t="s">
        <v>24</v>
      </c>
      <c r="C10" s="3" t="s">
        <v>43</v>
      </c>
      <c r="D10" s="3" t="s">
        <v>19</v>
      </c>
      <c r="E10" s="3" t="s">
        <v>20</v>
      </c>
      <c r="F10" s="4" t="n">
        <v>30</v>
      </c>
      <c r="G10" s="4"/>
      <c r="H10" s="5" t="n">
        <v>22.5</v>
      </c>
      <c r="I10" s="4"/>
      <c r="J10" s="4"/>
      <c r="K10" s="6" t="str">
        <f aca="false">IF(AND(ISNUMBER(G10),ISNUMBER(I10),ISNUMBER(J10)),(J10-I10)/(G10-1),"")</f>
        <v/>
      </c>
      <c r="L10" s="3" t="s">
        <v>21</v>
      </c>
      <c r="M10" s="7" t="s">
        <v>44</v>
      </c>
      <c r="N10" s="4"/>
      <c r="O10" s="4"/>
      <c r="P10" s="7"/>
      <c r="Q10" s="6" t="str">
        <f aca="false">IF(AND(ISNUMBER(G10),ISNUMBER(N10),ISNUMBER(O10),N10&gt;0),(O10-N10)/(G10-1),"")</f>
        <v/>
      </c>
    </row>
    <row r="11" customFormat="false" ht="15" hidden="false" customHeight="true" outlineLevel="0" collapsed="false">
      <c r="A11" s="3" t="n">
        <v>10</v>
      </c>
      <c r="B11" s="3" t="s">
        <v>24</v>
      </c>
      <c r="C11" s="3" t="s">
        <v>45</v>
      </c>
      <c r="D11" s="3" t="s">
        <v>19</v>
      </c>
      <c r="E11" s="3" t="s">
        <v>20</v>
      </c>
      <c r="F11" s="4" t="n">
        <v>30</v>
      </c>
      <c r="G11" s="4"/>
      <c r="H11" s="5" t="n">
        <v>22.5</v>
      </c>
      <c r="I11" s="4"/>
      <c r="J11" s="4"/>
      <c r="K11" s="6" t="str">
        <f aca="false">IF(AND(ISNUMBER(G11),ISNUMBER(I11),ISNUMBER(J11)),(J11-I11)/(G11-1),"")</f>
        <v/>
      </c>
      <c r="L11" s="3" t="s">
        <v>30</v>
      </c>
      <c r="M11" s="7" t="s">
        <v>35</v>
      </c>
      <c r="N11" s="4" t="n">
        <v>0</v>
      </c>
      <c r="O11" s="4" t="n">
        <v>1400</v>
      </c>
      <c r="P11" s="7" t="s">
        <v>28</v>
      </c>
      <c r="Q11" s="6" t="str">
        <f aca="false">IF(AND(ISNUMBER(G11),ISNUMBER(N11),ISNUMBER(O11),N11&gt;0),(O11-N11)/(G11-1),"")</f>
        <v/>
      </c>
    </row>
    <row r="12" customFormat="false" ht="15" hidden="false" customHeight="true" outlineLevel="0" collapsed="false">
      <c r="A12" s="3" t="n">
        <v>11</v>
      </c>
      <c r="B12" s="3" t="s">
        <v>24</v>
      </c>
      <c r="C12" s="3" t="s">
        <v>46</v>
      </c>
      <c r="D12" s="3" t="s">
        <v>19</v>
      </c>
      <c r="E12" s="3" t="s">
        <v>20</v>
      </c>
      <c r="F12" s="4" t="n">
        <v>30</v>
      </c>
      <c r="G12" s="4"/>
      <c r="H12" s="5" t="n">
        <v>25</v>
      </c>
      <c r="I12" s="4"/>
      <c r="J12" s="4"/>
      <c r="K12" s="6" t="str">
        <f aca="false">IF(AND(ISNUMBER(G12),ISNUMBER(I12),ISNUMBER(J12)),(J12-I12)/(G12-1),"")</f>
        <v/>
      </c>
      <c r="L12" s="3" t="s">
        <v>21</v>
      </c>
      <c r="M12" s="7" t="s">
        <v>47</v>
      </c>
      <c r="N12" s="4"/>
      <c r="O12" s="4"/>
      <c r="P12" s="7"/>
      <c r="Q12" s="6" t="str">
        <f aca="false">IF(AND(ISNUMBER(G12),ISNUMBER(N12),ISNUMBER(O12),N12&gt;0),(O12-N12)/(G12-1),"")</f>
        <v/>
      </c>
    </row>
    <row r="13" customFormat="false" ht="15" hidden="false" customHeight="true" outlineLevel="0" collapsed="false">
      <c r="A13" s="3" t="n">
        <v>12</v>
      </c>
      <c r="B13" s="3" t="s">
        <v>24</v>
      </c>
      <c r="C13" s="3" t="s">
        <v>48</v>
      </c>
      <c r="D13" s="3" t="s">
        <v>19</v>
      </c>
      <c r="E13" s="3" t="s">
        <v>20</v>
      </c>
      <c r="F13" s="4"/>
      <c r="G13" s="4"/>
      <c r="H13" s="5"/>
      <c r="I13" s="4"/>
      <c r="J13" s="4"/>
      <c r="K13" s="6" t="str">
        <f aca="false">IF(AND(ISNUMBER(G13),ISNUMBER(I13),ISNUMBER(J13)),(J13-I13)/(G13-1),"")</f>
        <v/>
      </c>
      <c r="L13" s="3" t="s">
        <v>30</v>
      </c>
      <c r="M13" s="7" t="s">
        <v>49</v>
      </c>
      <c r="N13" s="4" t="n">
        <v>0</v>
      </c>
      <c r="O13" s="4" t="n">
        <v>1360</v>
      </c>
      <c r="P13" s="7" t="s">
        <v>50</v>
      </c>
      <c r="Q13" s="6" t="str">
        <f aca="false">IF(AND(ISNUMBER(G13),ISNUMBER(N13),ISNUMBER(O13),N13&gt;0),(O13-N13)/(G13-1),"")</f>
        <v/>
      </c>
    </row>
    <row r="14" customFormat="false" ht="15" hidden="false" customHeight="true" outlineLevel="0" collapsed="false">
      <c r="A14" s="3" t="n">
        <v>13</v>
      </c>
      <c r="B14" s="3" t="s">
        <v>51</v>
      </c>
      <c r="C14" s="3" t="s">
        <v>52</v>
      </c>
      <c r="D14" s="3" t="s">
        <v>19</v>
      </c>
      <c r="E14" s="3" t="s">
        <v>26</v>
      </c>
      <c r="F14" s="4" t="n">
        <v>60</v>
      </c>
      <c r="G14" s="4" t="n">
        <v>240</v>
      </c>
      <c r="H14" s="5" t="n">
        <v>16</v>
      </c>
      <c r="I14" s="4"/>
      <c r="J14" s="4" t="n">
        <v>1350</v>
      </c>
      <c r="K14" s="6" t="str">
        <f aca="false">IF(AND(ISNUMBER(G14),ISNUMBER(I14),ISNUMBER(J14)),(J14-I14)/(G14-1),"")</f>
        <v/>
      </c>
      <c r="L14" s="3" t="s">
        <v>53</v>
      </c>
      <c r="M14" s="7" t="s">
        <v>54</v>
      </c>
      <c r="N14" s="4" t="n">
        <v>0</v>
      </c>
      <c r="O14" s="4" t="n">
        <v>1350</v>
      </c>
      <c r="P14" s="7" t="s">
        <v>55</v>
      </c>
      <c r="Q14" s="6" t="str">
        <f aca="false">IF(AND(ISNUMBER(G14),ISNUMBER(N14),ISNUMBER(O14),N14&gt;0),(O14-N14)/(G14-1),"")</f>
        <v/>
      </c>
    </row>
    <row r="15" customFormat="false" ht="15" hidden="false" customHeight="true" outlineLevel="0" collapsed="false">
      <c r="A15" s="3" t="n">
        <v>14</v>
      </c>
      <c r="B15" s="3" t="s">
        <v>51</v>
      </c>
      <c r="C15" s="3" t="s">
        <v>56</v>
      </c>
      <c r="D15" s="3" t="s">
        <v>19</v>
      </c>
      <c r="E15" s="3" t="s">
        <v>57</v>
      </c>
      <c r="F15" s="4"/>
      <c r="G15" s="4"/>
      <c r="H15" s="5"/>
      <c r="I15" s="4"/>
      <c r="J15" s="4"/>
      <c r="K15" s="6" t="str">
        <f aca="false">IF(AND(ISNUMBER(G15),ISNUMBER(I15),ISNUMBER(J15)),(J15-I15)/(G15-1),"")</f>
        <v/>
      </c>
      <c r="L15" s="3" t="s">
        <v>30</v>
      </c>
      <c r="M15" s="7" t="s">
        <v>49</v>
      </c>
      <c r="N15" s="4" t="n">
        <v>0</v>
      </c>
      <c r="O15" s="4" t="n">
        <v>1350</v>
      </c>
      <c r="P15" s="7" t="s">
        <v>58</v>
      </c>
      <c r="Q15" s="6" t="str">
        <f aca="false">IF(AND(ISNUMBER(G15),ISNUMBER(N15),ISNUMBER(O15),N15&gt;0),(O15-N15)/(G15-1),"")</f>
        <v/>
      </c>
    </row>
    <row r="16" customFormat="false" ht="15" hidden="false" customHeight="true" outlineLevel="0" collapsed="false">
      <c r="A16" s="3" t="n">
        <v>15</v>
      </c>
      <c r="B16" s="3" t="s">
        <v>51</v>
      </c>
      <c r="C16" s="3" t="s">
        <v>59</v>
      </c>
      <c r="D16" s="3" t="s">
        <v>19</v>
      </c>
      <c r="E16" s="3" t="s">
        <v>20</v>
      </c>
      <c r="F16" s="4"/>
      <c r="G16" s="4"/>
      <c r="H16" s="5" t="n">
        <v>18</v>
      </c>
      <c r="I16" s="4"/>
      <c r="J16" s="4"/>
      <c r="K16" s="6" t="str">
        <f aca="false">IF(AND(ISNUMBER(G16),ISNUMBER(I16),ISNUMBER(J16)),(J16-I16)/(G16-1),"")</f>
        <v/>
      </c>
      <c r="L16" s="3" t="s">
        <v>21</v>
      </c>
      <c r="M16" s="7" t="s">
        <v>60</v>
      </c>
      <c r="N16" s="4" t="n">
        <v>0</v>
      </c>
      <c r="O16" s="4" t="n">
        <v>1030</v>
      </c>
      <c r="P16" s="7" t="s">
        <v>61</v>
      </c>
      <c r="Q16" s="6" t="str">
        <f aca="false">IF(AND(ISNUMBER(G16),ISNUMBER(N16),ISNUMBER(O16),N16&gt;0),(O16-N16)/(G16-1),"")</f>
        <v/>
      </c>
    </row>
    <row r="17" customFormat="false" ht="15" hidden="false" customHeight="true" outlineLevel="0" collapsed="false">
      <c r="A17" s="3" t="n">
        <v>16</v>
      </c>
      <c r="B17" s="3" t="s">
        <v>62</v>
      </c>
      <c r="C17" s="3" t="s">
        <v>63</v>
      </c>
      <c r="D17" s="3" t="s">
        <v>19</v>
      </c>
      <c r="E17" s="3" t="s">
        <v>57</v>
      </c>
      <c r="F17" s="4" t="n">
        <v>12</v>
      </c>
      <c r="G17" s="4"/>
      <c r="H17" s="5" t="n">
        <v>32</v>
      </c>
      <c r="I17" s="4"/>
      <c r="J17" s="4"/>
      <c r="K17" s="6" t="str">
        <f aca="false">IF(AND(ISNUMBER(G17),ISNUMBER(I17),ISNUMBER(J17)),(J17-I17)/(G17-1),"")</f>
        <v/>
      </c>
      <c r="L17" s="3" t="s">
        <v>21</v>
      </c>
      <c r="M17" s="7" t="s">
        <v>64</v>
      </c>
      <c r="N17" s="4" t="n">
        <v>0</v>
      </c>
      <c r="O17" s="4" t="n">
        <v>950</v>
      </c>
      <c r="P17" s="7" t="s">
        <v>65</v>
      </c>
      <c r="Q17" s="6" t="str">
        <f aca="false">IF(AND(ISNUMBER(G17),ISNUMBER(N17),ISNUMBER(O17),N17&gt;0),(O17-N17)/(G17-1),"")</f>
        <v/>
      </c>
    </row>
    <row r="18" customFormat="false" ht="15" hidden="false" customHeight="true" outlineLevel="0" collapsed="false">
      <c r="A18" s="3" t="n">
        <v>17</v>
      </c>
      <c r="B18" s="3" t="s">
        <v>62</v>
      </c>
      <c r="C18" s="3" t="s">
        <v>66</v>
      </c>
      <c r="D18" s="3" t="s">
        <v>19</v>
      </c>
      <c r="E18" s="3" t="s">
        <v>57</v>
      </c>
      <c r="F18" s="4"/>
      <c r="G18" s="4" t="n">
        <v>36</v>
      </c>
      <c r="H18" s="5" t="n">
        <v>23</v>
      </c>
      <c r="I18" s="4"/>
      <c r="J18" s="4"/>
      <c r="K18" s="6" t="str">
        <f aca="false">IF(AND(ISNUMBER(G18),ISNUMBER(I18),ISNUMBER(J18)),(J18-I18)/(G18-1),"")</f>
        <v/>
      </c>
      <c r="L18" s="3" t="s">
        <v>21</v>
      </c>
      <c r="M18" s="7" t="s">
        <v>67</v>
      </c>
      <c r="N18" s="4" t="n">
        <v>0</v>
      </c>
      <c r="O18" s="4" t="n">
        <v>950</v>
      </c>
      <c r="P18" s="7" t="s">
        <v>68</v>
      </c>
      <c r="Q18" s="6" t="str">
        <f aca="false">IF(AND(ISNUMBER(G18),ISNUMBER(N18),ISNUMBER(O18),N18&gt;0),(O18-N18)/(G18-1),"")</f>
        <v/>
      </c>
    </row>
    <row r="19" customFormat="false" ht="15" hidden="false" customHeight="true" outlineLevel="0" collapsed="false">
      <c r="A19" s="3" t="n">
        <v>18</v>
      </c>
      <c r="B19" s="3" t="s">
        <v>62</v>
      </c>
      <c r="C19" s="3" t="s">
        <v>69</v>
      </c>
      <c r="D19" s="3" t="s">
        <v>19</v>
      </c>
      <c r="E19" s="3" t="s">
        <v>57</v>
      </c>
      <c r="F19" s="4" t="n">
        <v>30</v>
      </c>
      <c r="G19" s="4"/>
      <c r="H19" s="5"/>
      <c r="I19" s="4"/>
      <c r="J19" s="4"/>
      <c r="K19" s="6" t="str">
        <f aca="false">IF(AND(ISNUMBER(G19),ISNUMBER(I19),ISNUMBER(J19)),(J19-I19)/(G19-1),"")</f>
        <v/>
      </c>
      <c r="L19" s="3" t="s">
        <v>21</v>
      </c>
      <c r="M19" s="7" t="s">
        <v>70</v>
      </c>
      <c r="N19" s="4" t="n">
        <v>0</v>
      </c>
      <c r="O19" s="4" t="n">
        <v>1009</v>
      </c>
      <c r="P19" s="7" t="s">
        <v>28</v>
      </c>
      <c r="Q19" s="6" t="str">
        <f aca="false">IF(AND(ISNUMBER(G19),ISNUMBER(N19),ISNUMBER(O19),N19&gt;0),(O19-N19)/(G19-1),"")</f>
        <v/>
      </c>
    </row>
    <row r="20" customFormat="false" ht="15" hidden="false" customHeight="true" outlineLevel="0" collapsed="false">
      <c r="A20" s="3" t="n">
        <v>19</v>
      </c>
      <c r="B20" s="3" t="s">
        <v>62</v>
      </c>
      <c r="C20" s="3" t="s">
        <v>71</v>
      </c>
      <c r="D20" s="3" t="s">
        <v>19</v>
      </c>
      <c r="E20" s="3" t="s">
        <v>26</v>
      </c>
      <c r="F20" s="4"/>
      <c r="G20" s="4" t="n">
        <v>48</v>
      </c>
      <c r="H20" s="5" t="n">
        <v>31</v>
      </c>
      <c r="I20" s="4"/>
      <c r="J20" s="4"/>
      <c r="K20" s="6" t="str">
        <f aca="false">IF(AND(ISNUMBER(G20),ISNUMBER(I20),ISNUMBER(J20)),(J20-I20)/(G20-1),"")</f>
        <v/>
      </c>
      <c r="L20" s="3" t="s">
        <v>21</v>
      </c>
      <c r="M20" s="7" t="s">
        <v>72</v>
      </c>
      <c r="N20" s="4" t="n">
        <v>0</v>
      </c>
      <c r="O20" s="4" t="n">
        <v>950</v>
      </c>
      <c r="P20" s="7" t="s">
        <v>61</v>
      </c>
      <c r="Q20" s="6" t="str">
        <f aca="false">IF(AND(ISNUMBER(G20),ISNUMBER(N20),ISNUMBER(O20),N20&gt;0),(O20-N20)/(G20-1),"")</f>
        <v/>
      </c>
    </row>
    <row r="21" customFormat="false" ht="15" hidden="false" customHeight="true" outlineLevel="0" collapsed="false">
      <c r="A21" s="3" t="n">
        <v>20</v>
      </c>
      <c r="B21" s="3" t="s">
        <v>62</v>
      </c>
      <c r="C21" s="3" t="s">
        <v>73</v>
      </c>
      <c r="D21" s="3" t="s">
        <v>19</v>
      </c>
      <c r="E21" s="3" t="s">
        <v>26</v>
      </c>
      <c r="F21" s="4"/>
      <c r="G21" s="4" t="n">
        <v>48</v>
      </c>
      <c r="H21" s="5" t="n">
        <v>15</v>
      </c>
      <c r="I21" s="4"/>
      <c r="J21" s="4"/>
      <c r="K21" s="6" t="str">
        <f aca="false">IF(AND(ISNUMBER(G21),ISNUMBER(I21),ISNUMBER(J21)),(J21-I21)/(G21-1),"")</f>
        <v/>
      </c>
      <c r="L21" s="3" t="s">
        <v>21</v>
      </c>
      <c r="M21" s="7" t="s">
        <v>72</v>
      </c>
      <c r="N21" s="4" t="n">
        <v>0</v>
      </c>
      <c r="O21" s="4" t="n">
        <v>1250</v>
      </c>
      <c r="P21" s="7" t="s">
        <v>74</v>
      </c>
      <c r="Q21" s="6" t="str">
        <f aca="false">IF(AND(ISNUMBER(G21),ISNUMBER(N21),ISNUMBER(O21),N21&gt;0),(O21-N21)/(G21-1),"")</f>
        <v/>
      </c>
    </row>
    <row r="22" customFormat="false" ht="15" hidden="false" customHeight="true" outlineLevel="0" collapsed="false">
      <c r="A22" s="3" t="n">
        <v>21</v>
      </c>
      <c r="B22" s="3" t="s">
        <v>75</v>
      </c>
      <c r="C22" s="3" t="s">
        <v>76</v>
      </c>
      <c r="D22" s="3" t="s">
        <v>19</v>
      </c>
      <c r="E22" s="3" t="s">
        <v>77</v>
      </c>
      <c r="F22" s="4"/>
      <c r="G22" s="4"/>
      <c r="H22" s="5"/>
      <c r="I22" s="4" t="n">
        <v>350</v>
      </c>
      <c r="J22" s="4" t="n">
        <v>1400</v>
      </c>
      <c r="K22" s="6" t="str">
        <f aca="false">IF(AND(ISNUMBER(G22),ISNUMBER(I22),ISNUMBER(J22)),(J22-I22)/(G22-1),"")</f>
        <v/>
      </c>
      <c r="L22" s="3" t="s">
        <v>30</v>
      </c>
      <c r="M22" s="7" t="s">
        <v>78</v>
      </c>
      <c r="N22" s="4"/>
      <c r="O22" s="4"/>
      <c r="P22" s="7"/>
      <c r="Q22" s="6" t="str">
        <f aca="false">IF(AND(ISNUMBER(G22),ISNUMBER(N22),ISNUMBER(O22),N22&gt;0),(O22-N22)/(G22-1),"")</f>
        <v/>
      </c>
    </row>
    <row r="23" customFormat="false" ht="15" hidden="false" customHeight="true" outlineLevel="0" collapsed="false">
      <c r="A23" s="3" t="n">
        <v>22</v>
      </c>
      <c r="B23" s="3" t="s">
        <v>75</v>
      </c>
      <c r="C23" s="3" t="s">
        <v>79</v>
      </c>
      <c r="D23" s="3" t="s">
        <v>19</v>
      </c>
      <c r="E23" s="3" t="s">
        <v>80</v>
      </c>
      <c r="F23" s="4"/>
      <c r="G23" s="4" t="n">
        <v>20</v>
      </c>
      <c r="H23" s="5"/>
      <c r="I23" s="4" t="n">
        <v>200</v>
      </c>
      <c r="J23" s="4" t="n">
        <v>1400</v>
      </c>
      <c r="K23" s="6" t="n">
        <f aca="false">IF(AND(ISNUMBER(G23),ISNUMBER(I23),ISNUMBER(J23)),(J23-I23)/(G23-1),"")</f>
        <v>63.1578947368421</v>
      </c>
      <c r="L23" s="3" t="s">
        <v>21</v>
      </c>
      <c r="M23" s="7" t="s">
        <v>81</v>
      </c>
      <c r="N23" s="4"/>
      <c r="O23" s="4"/>
      <c r="P23" s="7"/>
      <c r="Q23" s="6" t="str">
        <f aca="false">IF(AND(ISNUMBER(G23),ISNUMBER(N23),ISNUMBER(O23),N23&gt;0),(O23-N23)/(G23-1),"")</f>
        <v/>
      </c>
    </row>
    <row r="24" customFormat="false" ht="15" hidden="false" customHeight="true" outlineLevel="0" collapsed="false">
      <c r="A24" s="3" t="n">
        <v>23</v>
      </c>
      <c r="B24" s="3" t="s">
        <v>75</v>
      </c>
      <c r="C24" s="3" t="s">
        <v>82</v>
      </c>
      <c r="D24" s="3" t="s">
        <v>19</v>
      </c>
      <c r="E24" s="3" t="s">
        <v>57</v>
      </c>
      <c r="F24" s="4"/>
      <c r="G24" s="4" t="n">
        <v>20</v>
      </c>
      <c r="H24" s="5"/>
      <c r="I24" s="4"/>
      <c r="J24" s="4"/>
      <c r="K24" s="6" t="str">
        <f aca="false">IF(AND(ISNUMBER(G24),ISNUMBER(I24),ISNUMBER(J24)),(J24-I24)/(G24-1),"")</f>
        <v/>
      </c>
      <c r="L24" s="3" t="s">
        <v>30</v>
      </c>
      <c r="M24" s="7" t="s">
        <v>83</v>
      </c>
      <c r="N24" s="4" t="n">
        <v>200</v>
      </c>
      <c r="O24" s="4" t="n">
        <v>1400</v>
      </c>
      <c r="P24" s="7" t="s">
        <v>84</v>
      </c>
      <c r="Q24" s="6" t="n">
        <f aca="false">IF(AND(ISNUMBER(G24),ISNUMBER(N24),ISNUMBER(O24),N24&gt;0),(O24-N24)/(G24-1),"")</f>
        <v>63.1578947368421</v>
      </c>
    </row>
    <row r="25" customFormat="false" ht="15" hidden="false" customHeight="true" outlineLevel="0" collapsed="false">
      <c r="A25" s="3" t="n">
        <v>24</v>
      </c>
      <c r="B25" s="3" t="s">
        <v>85</v>
      </c>
      <c r="C25" s="3" t="s">
        <v>86</v>
      </c>
      <c r="D25" s="3" t="s">
        <v>19</v>
      </c>
      <c r="E25" s="3" t="s">
        <v>57</v>
      </c>
      <c r="F25" s="4"/>
      <c r="G25" s="4"/>
      <c r="H25" s="5"/>
      <c r="I25" s="4"/>
      <c r="J25" s="4"/>
      <c r="K25" s="6" t="str">
        <f aca="false">IF(AND(ISNUMBER(G25),ISNUMBER(I25),ISNUMBER(J25)),(J25-I25)/(G25-1),"")</f>
        <v/>
      </c>
      <c r="L25" s="3" t="s">
        <v>30</v>
      </c>
      <c r="M25" s="7" t="s">
        <v>83</v>
      </c>
      <c r="N25" s="4"/>
      <c r="O25" s="4"/>
      <c r="P25" s="7"/>
      <c r="Q25" s="6" t="str">
        <f aca="false">IF(AND(ISNUMBER(G25),ISNUMBER(N25),ISNUMBER(O25),N25&gt;0),(O25-N25)/(G25-1),"")</f>
        <v/>
      </c>
    </row>
    <row r="26" customFormat="false" ht="15" hidden="false" customHeight="true" outlineLevel="0" collapsed="false">
      <c r="A26" s="3" t="n">
        <v>25</v>
      </c>
      <c r="B26" s="3" t="s">
        <v>87</v>
      </c>
      <c r="C26" s="3" t="s">
        <v>88</v>
      </c>
      <c r="D26" s="3" t="s">
        <v>19</v>
      </c>
      <c r="E26" s="3" t="s">
        <v>57</v>
      </c>
      <c r="F26" s="4"/>
      <c r="G26" s="4"/>
      <c r="H26" s="5"/>
      <c r="I26" s="4"/>
      <c r="J26" s="4"/>
      <c r="K26" s="6" t="str">
        <f aca="false">IF(AND(ISNUMBER(G26),ISNUMBER(I26),ISNUMBER(J26)),(J26-I26)/(G26-1),"")</f>
        <v/>
      </c>
      <c r="L26" s="3" t="s">
        <v>30</v>
      </c>
      <c r="M26" s="7" t="s">
        <v>83</v>
      </c>
      <c r="N26" s="4" t="n">
        <v>0</v>
      </c>
      <c r="O26" s="4" t="n">
        <v>1400</v>
      </c>
      <c r="P26" s="7" t="s">
        <v>89</v>
      </c>
      <c r="Q26" s="6" t="str">
        <f aca="false">IF(AND(ISNUMBER(G26),ISNUMBER(N26),ISNUMBER(O26),N26&gt;0),(O26-N26)/(G26-1),"")</f>
        <v/>
      </c>
    </row>
    <row r="27" customFormat="false" ht="15" hidden="false" customHeight="true" outlineLevel="0" collapsed="false">
      <c r="A27" s="3" t="n">
        <v>26</v>
      </c>
      <c r="B27" s="3" t="s">
        <v>90</v>
      </c>
      <c r="C27" s="3" t="s">
        <v>91</v>
      </c>
      <c r="D27" s="3" t="s">
        <v>19</v>
      </c>
      <c r="E27" s="3" t="s">
        <v>57</v>
      </c>
      <c r="F27" s="4"/>
      <c r="G27" s="4"/>
      <c r="H27" s="5"/>
      <c r="I27" s="4"/>
      <c r="J27" s="4"/>
      <c r="K27" s="6" t="str">
        <f aca="false">IF(AND(ISNUMBER(G27),ISNUMBER(I27),ISNUMBER(J27)),(J27-I27)/(G27-1),"")</f>
        <v/>
      </c>
      <c r="L27" s="3" t="s">
        <v>30</v>
      </c>
      <c r="M27" s="7" t="s">
        <v>83</v>
      </c>
      <c r="N27" s="4" t="n">
        <v>150</v>
      </c>
      <c r="O27" s="4" t="n">
        <v>950</v>
      </c>
      <c r="P27" s="7" t="s">
        <v>92</v>
      </c>
      <c r="Q27" s="6" t="str">
        <f aca="false">IF(AND(ISNUMBER(G27),ISNUMBER(N27),ISNUMBER(O27),N27&gt;0),(O27-N27)/(G27-1),"")</f>
        <v/>
      </c>
    </row>
    <row r="28" customFormat="false" ht="15" hidden="false" customHeight="true" outlineLevel="0" collapsed="false">
      <c r="A28" s="3" t="n">
        <v>27</v>
      </c>
      <c r="B28" s="3" t="s">
        <v>93</v>
      </c>
      <c r="C28" s="3" t="s">
        <v>94</v>
      </c>
      <c r="D28" s="3" t="s">
        <v>95</v>
      </c>
      <c r="E28" s="3" t="s">
        <v>96</v>
      </c>
      <c r="F28" s="4"/>
      <c r="G28" s="4" t="n">
        <v>40</v>
      </c>
      <c r="H28" s="5"/>
      <c r="I28" s="4" t="n">
        <v>250</v>
      </c>
      <c r="J28" s="4" t="n">
        <v>1200</v>
      </c>
      <c r="K28" s="6" t="n">
        <f aca="false">IF(AND(ISNUMBER(G28),ISNUMBER(I28),ISNUMBER(J28)),(J28-I28)/(G28-1),"")</f>
        <v>24.3589743589744</v>
      </c>
      <c r="L28" s="3" t="s">
        <v>53</v>
      </c>
      <c r="M28" s="7" t="s">
        <v>97</v>
      </c>
      <c r="N28" s="4" t="n">
        <v>250</v>
      </c>
      <c r="O28" s="4" t="n">
        <v>1200</v>
      </c>
      <c r="P28" s="7" t="s">
        <v>98</v>
      </c>
      <c r="Q28" s="6" t="n">
        <f aca="false">IF(AND(ISNUMBER(G28),ISNUMBER(N28),ISNUMBER(O28),N28&gt;0),(O28-N28)/(G28-1),"")</f>
        <v>24.3589743589744</v>
      </c>
    </row>
    <row r="29" customFormat="false" ht="15" hidden="false" customHeight="true" outlineLevel="0" collapsed="false">
      <c r="A29" s="3" t="n">
        <v>28</v>
      </c>
      <c r="B29" s="3" t="s">
        <v>93</v>
      </c>
      <c r="C29" s="3" t="s">
        <v>99</v>
      </c>
      <c r="D29" s="3" t="s">
        <v>95</v>
      </c>
      <c r="E29" s="3" t="s">
        <v>100</v>
      </c>
      <c r="F29" s="4"/>
      <c r="G29" s="4" t="n">
        <v>40</v>
      </c>
      <c r="H29" s="5"/>
      <c r="I29" s="4"/>
      <c r="J29" s="4"/>
      <c r="K29" s="6" t="str">
        <f aca="false">IF(AND(ISNUMBER(G29),ISNUMBER(I29),ISNUMBER(J29)),(J29-I29)/(G29-1),"")</f>
        <v/>
      </c>
      <c r="L29" s="3" t="s">
        <v>21</v>
      </c>
      <c r="M29" s="7" t="s">
        <v>101</v>
      </c>
      <c r="N29" s="4" t="n">
        <v>230</v>
      </c>
      <c r="O29" s="4" t="n">
        <v>1380</v>
      </c>
      <c r="P29" s="7" t="s">
        <v>102</v>
      </c>
      <c r="Q29" s="6" t="n">
        <f aca="false">IF(AND(ISNUMBER(G29),ISNUMBER(N29),ISNUMBER(O29),N29&gt;0),(O29-N29)/(G29-1),"")</f>
        <v>29.4871794871795</v>
      </c>
    </row>
    <row r="30" customFormat="false" ht="15" hidden="false" customHeight="true" outlineLevel="0" collapsed="false">
      <c r="A30" s="3" t="n">
        <v>29</v>
      </c>
      <c r="B30" s="3" t="s">
        <v>93</v>
      </c>
      <c r="C30" s="3" t="s">
        <v>103</v>
      </c>
      <c r="D30" s="3" t="s">
        <v>95</v>
      </c>
      <c r="E30" s="3" t="s">
        <v>96</v>
      </c>
      <c r="F30" s="4"/>
      <c r="G30" s="4" t="n">
        <v>40</v>
      </c>
      <c r="H30" s="5"/>
      <c r="I30" s="4" t="n">
        <v>200</v>
      </c>
      <c r="J30" s="4" t="n">
        <v>1400</v>
      </c>
      <c r="K30" s="6" t="n">
        <f aca="false">IF(AND(ISNUMBER(G30),ISNUMBER(I30),ISNUMBER(J30)),(J30-I30)/(G30-1),"")</f>
        <v>30.7692307692308</v>
      </c>
      <c r="L30" s="3" t="s">
        <v>53</v>
      </c>
      <c r="M30" s="7" t="s">
        <v>97</v>
      </c>
      <c r="N30" s="4" t="n">
        <v>200</v>
      </c>
      <c r="O30" s="4" t="n">
        <v>1200</v>
      </c>
      <c r="P30" s="7" t="s">
        <v>104</v>
      </c>
      <c r="Q30" s="6" t="n">
        <f aca="false">IF(AND(ISNUMBER(G30),ISNUMBER(N30),ISNUMBER(O30),N30&gt;0),(O30-N30)/(G30-1),"")</f>
        <v>25.6410256410256</v>
      </c>
    </row>
    <row r="31" customFormat="false" ht="15" hidden="false" customHeight="true" outlineLevel="0" collapsed="false">
      <c r="A31" s="3" t="n">
        <v>30</v>
      </c>
      <c r="B31" s="3" t="s">
        <v>93</v>
      </c>
      <c r="C31" s="3" t="s">
        <v>105</v>
      </c>
      <c r="D31" s="3" t="s">
        <v>95</v>
      </c>
      <c r="E31" s="3" t="s">
        <v>106</v>
      </c>
      <c r="F31" s="4"/>
      <c r="G31" s="4" t="n">
        <v>270</v>
      </c>
      <c r="H31" s="5"/>
      <c r="I31" s="4" t="n">
        <v>230</v>
      </c>
      <c r="J31" s="4" t="n">
        <v>950</v>
      </c>
      <c r="K31" s="6" t="n">
        <f aca="false">IF(AND(ISNUMBER(G31),ISNUMBER(I31),ISNUMBER(J31)),(J31-I31)/(G31-1),"")</f>
        <v>2.67657992565056</v>
      </c>
      <c r="L31" s="3" t="s">
        <v>53</v>
      </c>
      <c r="M31" s="7" t="s">
        <v>97</v>
      </c>
      <c r="N31" s="4"/>
      <c r="O31" s="4"/>
      <c r="P31" s="7"/>
      <c r="Q31" s="6" t="str">
        <f aca="false">IF(AND(ISNUMBER(G31),ISNUMBER(N31),ISNUMBER(O31),N31&gt;0),(O31-N31)/(G31-1),"")</f>
        <v/>
      </c>
    </row>
    <row r="32" customFormat="false" ht="15" hidden="false" customHeight="true" outlineLevel="0" collapsed="false">
      <c r="A32" s="3" t="n">
        <v>31</v>
      </c>
      <c r="B32" s="3" t="s">
        <v>93</v>
      </c>
      <c r="C32" s="3" t="s">
        <v>107</v>
      </c>
      <c r="D32" s="3" t="s">
        <v>95</v>
      </c>
      <c r="E32" s="3" t="s">
        <v>96</v>
      </c>
      <c r="F32" s="4"/>
      <c r="G32" s="4" t="n">
        <v>31</v>
      </c>
      <c r="H32" s="5"/>
      <c r="I32" s="4"/>
      <c r="J32" s="4"/>
      <c r="K32" s="6" t="str">
        <f aca="false">IF(AND(ISNUMBER(G32),ISNUMBER(I32),ISNUMBER(J32)),(J32-I32)/(G32-1),"")</f>
        <v/>
      </c>
      <c r="L32" s="3" t="s">
        <v>53</v>
      </c>
      <c r="M32" s="7" t="s">
        <v>108</v>
      </c>
      <c r="N32" s="4" t="n">
        <v>230</v>
      </c>
      <c r="O32" s="4" t="n">
        <v>950</v>
      </c>
      <c r="P32" s="7" t="s">
        <v>109</v>
      </c>
      <c r="Q32" s="6" t="n">
        <f aca="false">IF(AND(ISNUMBER(G32),ISNUMBER(N32),ISNUMBER(O32),N32&gt;0),(O32-N32)/(G32-1),"")</f>
        <v>24</v>
      </c>
    </row>
    <row r="33" customFormat="false" ht="15" hidden="false" customHeight="true" outlineLevel="0" collapsed="false">
      <c r="A33" s="3" t="n">
        <v>32</v>
      </c>
      <c r="B33" s="3" t="s">
        <v>93</v>
      </c>
      <c r="C33" s="3" t="s">
        <v>110</v>
      </c>
      <c r="D33" s="3" t="s">
        <v>95</v>
      </c>
      <c r="E33" s="3" t="s">
        <v>111</v>
      </c>
      <c r="F33" s="4"/>
      <c r="G33" s="4" t="n">
        <v>230</v>
      </c>
      <c r="H33" s="5"/>
      <c r="I33" s="4" t="n">
        <v>230</v>
      </c>
      <c r="J33" s="4" t="n">
        <v>1150</v>
      </c>
      <c r="K33" s="6" t="n">
        <f aca="false">IF(AND(ISNUMBER(G33),ISNUMBER(I33),ISNUMBER(J33)),(J33-I33)/(G33-1),"")</f>
        <v>4.0174672489083</v>
      </c>
      <c r="L33" s="3" t="s">
        <v>53</v>
      </c>
      <c r="M33" s="7" t="s">
        <v>97</v>
      </c>
      <c r="N33" s="4"/>
      <c r="O33" s="4"/>
      <c r="P33" s="7"/>
      <c r="Q33" s="6" t="str">
        <f aca="false">IF(AND(ISNUMBER(G33),ISNUMBER(N33),ISNUMBER(O33),N33&gt;0),(O33-N33)/(G33-1),"")</f>
        <v/>
      </c>
    </row>
    <row r="34" customFormat="false" ht="15" hidden="false" customHeight="true" outlineLevel="0" collapsed="false">
      <c r="A34" s="3" t="n">
        <v>33</v>
      </c>
      <c r="B34" s="3" t="s">
        <v>93</v>
      </c>
      <c r="C34" s="3" t="s">
        <v>112</v>
      </c>
      <c r="D34" s="3" t="s">
        <v>95</v>
      </c>
      <c r="E34" s="3" t="s">
        <v>113</v>
      </c>
      <c r="F34" s="4"/>
      <c r="G34" s="4" t="n">
        <v>260</v>
      </c>
      <c r="H34" s="5"/>
      <c r="I34" s="4" t="n">
        <v>230</v>
      </c>
      <c r="J34" s="4" t="n">
        <v>1150</v>
      </c>
      <c r="K34" s="6" t="n">
        <f aca="false">IF(AND(ISNUMBER(G34),ISNUMBER(I34),ISNUMBER(J34)),(J34-I34)/(G34-1),"")</f>
        <v>3.55212355212355</v>
      </c>
      <c r="L34" s="3" t="s">
        <v>53</v>
      </c>
      <c r="M34" s="7" t="s">
        <v>97</v>
      </c>
      <c r="N34" s="4"/>
      <c r="O34" s="4"/>
      <c r="P34" s="7"/>
      <c r="Q34" s="6" t="str">
        <f aca="false">IF(AND(ISNUMBER(G34),ISNUMBER(N34),ISNUMBER(O34),N34&gt;0),(O34-N34)/(G34-1),"")</f>
        <v/>
      </c>
    </row>
    <row r="35" customFormat="false" ht="15" hidden="false" customHeight="true" outlineLevel="0" collapsed="false">
      <c r="A35" s="3" t="n">
        <v>34</v>
      </c>
      <c r="B35" s="3" t="s">
        <v>114</v>
      </c>
      <c r="C35" s="3" t="s">
        <v>115</v>
      </c>
      <c r="D35" s="3" t="s">
        <v>95</v>
      </c>
      <c r="E35" s="3" t="s">
        <v>96</v>
      </c>
      <c r="F35" s="4"/>
      <c r="G35" s="4" t="n">
        <v>60</v>
      </c>
      <c r="H35" s="5"/>
      <c r="I35" s="4" t="n">
        <v>200</v>
      </c>
      <c r="J35" s="4" t="n">
        <v>820</v>
      </c>
      <c r="K35" s="6" t="n">
        <f aca="false">IF(AND(ISNUMBER(G35),ISNUMBER(I35),ISNUMBER(J35)),(J35-I35)/(G35-1),"")</f>
        <v>10.5084745762712</v>
      </c>
      <c r="L35" s="3" t="s">
        <v>21</v>
      </c>
      <c r="M35" s="7" t="s">
        <v>116</v>
      </c>
      <c r="N35" s="4"/>
      <c r="O35" s="4"/>
      <c r="P35" s="7"/>
      <c r="Q35" s="6" t="str">
        <f aca="false">IF(AND(ISNUMBER(G35),ISNUMBER(N35),ISNUMBER(O35),N35&gt;0),(O35-N35)/(G35-1),"")</f>
        <v/>
      </c>
    </row>
    <row r="36" customFormat="false" ht="15" hidden="false" customHeight="true" outlineLevel="0" collapsed="false">
      <c r="A36" s="3" t="n">
        <v>35</v>
      </c>
      <c r="B36" s="3" t="s">
        <v>114</v>
      </c>
      <c r="C36" s="3" t="s">
        <v>117</v>
      </c>
      <c r="D36" s="3" t="s">
        <v>95</v>
      </c>
      <c r="E36" s="3" t="s">
        <v>96</v>
      </c>
      <c r="F36" s="4"/>
      <c r="G36" s="4" t="n">
        <v>60</v>
      </c>
      <c r="H36" s="5"/>
      <c r="I36" s="4"/>
      <c r="J36" s="4"/>
      <c r="K36" s="6" t="str">
        <f aca="false">IF(AND(ISNUMBER(G36),ISNUMBER(I36),ISNUMBER(J36)),(J36-I36)/(G36-1),"")</f>
        <v/>
      </c>
      <c r="L36" s="3" t="s">
        <v>30</v>
      </c>
      <c r="M36" s="7" t="s">
        <v>35</v>
      </c>
      <c r="N36" s="4" t="n">
        <v>200</v>
      </c>
      <c r="O36" s="4" t="n">
        <v>820</v>
      </c>
      <c r="P36" s="7" t="s">
        <v>118</v>
      </c>
      <c r="Q36" s="6" t="n">
        <f aca="false">IF(AND(ISNUMBER(G36),ISNUMBER(N36),ISNUMBER(O36),N36&gt;0),(O36-N36)/(G36-1),"")</f>
        <v>10.5084745762712</v>
      </c>
    </row>
    <row r="37" customFormat="false" ht="15" hidden="false" customHeight="true" outlineLevel="0" collapsed="false">
      <c r="A37" s="3" t="n">
        <v>36</v>
      </c>
      <c r="B37" s="3" t="s">
        <v>119</v>
      </c>
      <c r="C37" s="3" t="s">
        <v>120</v>
      </c>
      <c r="D37" s="3" t="s">
        <v>95</v>
      </c>
      <c r="E37" s="3" t="s">
        <v>121</v>
      </c>
      <c r="F37" s="4"/>
      <c r="G37" s="4" t="n">
        <v>31</v>
      </c>
      <c r="H37" s="5"/>
      <c r="I37" s="4"/>
      <c r="J37" s="4"/>
      <c r="K37" s="6" t="str">
        <f aca="false">IF(AND(ISNUMBER(G37),ISNUMBER(I37),ISNUMBER(J37)),(J37-I37)/(G37-1),"")</f>
        <v/>
      </c>
      <c r="L37" s="3" t="s">
        <v>21</v>
      </c>
      <c r="M37" s="7" t="s">
        <v>122</v>
      </c>
      <c r="N37" s="4" t="n">
        <v>275</v>
      </c>
      <c r="O37" s="4" t="n">
        <v>1160</v>
      </c>
      <c r="P37" s="7" t="s">
        <v>123</v>
      </c>
      <c r="Q37" s="6" t="n">
        <f aca="false">IF(AND(ISNUMBER(G37),ISNUMBER(N37),ISNUMBER(O37),N37&gt;0),(O37-N37)/(G37-1),"")</f>
        <v>29.5</v>
      </c>
    </row>
    <row r="38" customFormat="false" ht="15" hidden="false" customHeight="true" outlineLevel="0" collapsed="false">
      <c r="A38" s="3" t="n">
        <v>37</v>
      </c>
      <c r="B38" s="3" t="s">
        <v>119</v>
      </c>
      <c r="C38" s="3" t="s">
        <v>124</v>
      </c>
      <c r="D38" s="3" t="s">
        <v>95</v>
      </c>
      <c r="E38" s="3" t="s">
        <v>121</v>
      </c>
      <c r="F38" s="4"/>
      <c r="G38" s="4" t="n">
        <v>41</v>
      </c>
      <c r="H38" s="5"/>
      <c r="I38" s="4"/>
      <c r="J38" s="4"/>
      <c r="K38" s="6" t="str">
        <f aca="false">IF(AND(ISNUMBER(G38),ISNUMBER(I38),ISNUMBER(J38)),(J38-I38)/(G38-1),"")</f>
        <v/>
      </c>
      <c r="L38" s="3" t="s">
        <v>30</v>
      </c>
      <c r="M38" s="7" t="s">
        <v>35</v>
      </c>
      <c r="N38" s="4" t="n">
        <v>230</v>
      </c>
      <c r="O38" s="4" t="n">
        <v>1160</v>
      </c>
      <c r="P38" s="7" t="s">
        <v>125</v>
      </c>
      <c r="Q38" s="6" t="n">
        <f aca="false">IF(AND(ISNUMBER(G38),ISNUMBER(N38),ISNUMBER(O38),N38&gt;0),(O38-N38)/(G38-1),"")</f>
        <v>23.25</v>
      </c>
    </row>
    <row r="39" customFormat="false" ht="15" hidden="false" customHeight="true" outlineLevel="0" collapsed="false">
      <c r="A39" s="3" t="n">
        <v>38</v>
      </c>
      <c r="B39" s="3" t="s">
        <v>85</v>
      </c>
      <c r="C39" s="3" t="s">
        <v>126</v>
      </c>
      <c r="D39" s="3" t="s">
        <v>95</v>
      </c>
      <c r="E39" s="3" t="s">
        <v>127</v>
      </c>
      <c r="F39" s="4"/>
      <c r="G39" s="4"/>
      <c r="H39" s="5" t="n">
        <v>65</v>
      </c>
      <c r="I39" s="4" t="n">
        <v>195</v>
      </c>
      <c r="J39" s="4" t="n">
        <v>1100</v>
      </c>
      <c r="K39" s="6" t="str">
        <f aca="false">IF(AND(ISNUMBER(G39),ISNUMBER(I39),ISNUMBER(J39)),(J39-I39)/(G39-1),"")</f>
        <v/>
      </c>
      <c r="L39" s="3" t="s">
        <v>21</v>
      </c>
      <c r="M39" s="7" t="s">
        <v>128</v>
      </c>
      <c r="N39" s="4"/>
      <c r="O39" s="4"/>
      <c r="P39" s="7"/>
      <c r="Q39" s="6" t="str">
        <f aca="false">IF(AND(ISNUMBER(G39),ISNUMBER(N39),ISNUMBER(O39),N39&gt;0),(O39-N39)/(G39-1),"")</f>
        <v/>
      </c>
    </row>
    <row r="40" customFormat="false" ht="15" hidden="false" customHeight="true" outlineLevel="0" collapsed="false">
      <c r="A40" s="3" t="n">
        <v>39</v>
      </c>
      <c r="B40" s="3" t="s">
        <v>129</v>
      </c>
      <c r="C40" s="3" t="s">
        <v>130</v>
      </c>
      <c r="D40" s="3" t="s">
        <v>95</v>
      </c>
      <c r="E40" s="3" t="s">
        <v>131</v>
      </c>
      <c r="F40" s="4"/>
      <c r="G40" s="4" t="n">
        <v>18</v>
      </c>
      <c r="H40" s="5"/>
      <c r="I40" s="4" t="n">
        <v>310</v>
      </c>
      <c r="J40" s="4" t="n">
        <v>1100</v>
      </c>
      <c r="K40" s="6" t="n">
        <f aca="false">IF(AND(ISNUMBER(G40),ISNUMBER(I40),ISNUMBER(J40)),(J40-I40)/(G40-1),"")</f>
        <v>46.4705882352941</v>
      </c>
      <c r="L40" s="3" t="s">
        <v>21</v>
      </c>
      <c r="M40" s="7" t="s">
        <v>132</v>
      </c>
      <c r="N40" s="4"/>
      <c r="O40" s="4"/>
      <c r="P40" s="7"/>
      <c r="Q40" s="6" t="str">
        <f aca="false">IF(AND(ISNUMBER(G40),ISNUMBER(N40),ISNUMBER(O40),N40&gt;0),(O40-N40)/(G40-1),"")</f>
        <v/>
      </c>
    </row>
    <row r="41" customFormat="false" ht="15" hidden="false" customHeight="true" outlineLevel="0" collapsed="false">
      <c r="A41" s="3" t="n">
        <v>40</v>
      </c>
      <c r="B41" s="3" t="s">
        <v>129</v>
      </c>
      <c r="C41" s="3" t="s">
        <v>133</v>
      </c>
      <c r="D41" s="3" t="s">
        <v>95</v>
      </c>
      <c r="E41" s="3" t="s">
        <v>131</v>
      </c>
      <c r="F41" s="4"/>
      <c r="G41" s="4" t="n">
        <v>18</v>
      </c>
      <c r="H41" s="5"/>
      <c r="I41" s="4" t="n">
        <v>310</v>
      </c>
      <c r="J41" s="4" t="n">
        <v>1100</v>
      </c>
      <c r="K41" s="6" t="n">
        <f aca="false">IF(AND(ISNUMBER(G41),ISNUMBER(I41),ISNUMBER(J41)),(J41-I41)/(G41-1),"")</f>
        <v>46.4705882352941</v>
      </c>
      <c r="L41" s="3" t="s">
        <v>21</v>
      </c>
      <c r="M41" s="7" t="s">
        <v>134</v>
      </c>
      <c r="N41" s="4"/>
      <c r="O41" s="4"/>
      <c r="P41" s="7"/>
      <c r="Q41" s="6" t="str">
        <f aca="false">IF(AND(ISNUMBER(G41),ISNUMBER(N41),ISNUMBER(O41),N41&gt;0),(O41-N41)/(G41-1),"")</f>
        <v/>
      </c>
    </row>
    <row r="42" customFormat="false" ht="15" hidden="false" customHeight="true" outlineLevel="0" collapsed="false">
      <c r="A42" s="3" t="n">
        <v>41</v>
      </c>
      <c r="B42" s="3" t="s">
        <v>135</v>
      </c>
      <c r="C42" s="3" t="s">
        <v>136</v>
      </c>
      <c r="D42" s="3" t="s">
        <v>95</v>
      </c>
      <c r="E42" s="3" t="s">
        <v>137</v>
      </c>
      <c r="F42" s="4"/>
      <c r="G42" s="4" t="n">
        <v>17</v>
      </c>
      <c r="H42" s="5"/>
      <c r="I42" s="4"/>
      <c r="J42" s="4"/>
      <c r="K42" s="6" t="str">
        <f aca="false">IF(AND(ISNUMBER(G42),ISNUMBER(I42),ISNUMBER(J42)),(J42-I42)/(G42-1),"")</f>
        <v/>
      </c>
      <c r="L42" s="3" t="s">
        <v>21</v>
      </c>
      <c r="M42" s="7" t="s">
        <v>138</v>
      </c>
      <c r="N42" s="4" t="n">
        <v>365</v>
      </c>
      <c r="O42" s="4" t="n">
        <v>1250</v>
      </c>
      <c r="P42" s="7" t="s">
        <v>139</v>
      </c>
      <c r="Q42" s="6" t="n">
        <f aca="false">IF(AND(ISNUMBER(G42),ISNUMBER(N42),ISNUMBER(O42),N42&gt;0),(O42-N42)/(G42-1),"")</f>
        <v>55.3125</v>
      </c>
    </row>
    <row r="43" customFormat="false" ht="15" hidden="false" customHeight="true" outlineLevel="0" collapsed="false">
      <c r="A43" s="3" t="n">
        <v>42</v>
      </c>
      <c r="B43" s="3" t="s">
        <v>140</v>
      </c>
      <c r="C43" s="3" t="s">
        <v>141</v>
      </c>
      <c r="D43" s="3" t="s">
        <v>95</v>
      </c>
      <c r="E43" s="3" t="s">
        <v>142</v>
      </c>
      <c r="F43" s="4" t="n">
        <v>50</v>
      </c>
      <c r="G43" s="4"/>
      <c r="H43" s="5"/>
      <c r="I43" s="4"/>
      <c r="J43" s="4"/>
      <c r="K43" s="6" t="str">
        <f aca="false">IF(AND(ISNUMBER(G43),ISNUMBER(I43),ISNUMBER(J43)),(J43-I43)/(G43-1),"")</f>
        <v/>
      </c>
      <c r="L43" s="3" t="s">
        <v>30</v>
      </c>
      <c r="M43" s="7" t="s">
        <v>143</v>
      </c>
      <c r="N43" s="4" t="n">
        <v>0</v>
      </c>
      <c r="O43" s="4" t="n">
        <v>1400</v>
      </c>
      <c r="P43" s="7" t="s">
        <v>144</v>
      </c>
      <c r="Q43" s="6" t="str">
        <f aca="false">IF(AND(ISNUMBER(G43),ISNUMBER(N43),ISNUMBER(O43),N43&gt;0),(O43-N43)/(G43-1),"")</f>
        <v/>
      </c>
    </row>
    <row r="44" customFormat="false" ht="15" hidden="false" customHeight="true" outlineLevel="0" collapsed="false">
      <c r="A44" s="3" t="n">
        <v>43</v>
      </c>
      <c r="B44" s="3" t="s">
        <v>145</v>
      </c>
      <c r="C44" s="3" t="s">
        <v>146</v>
      </c>
      <c r="D44" s="3" t="s">
        <v>95</v>
      </c>
      <c r="E44" s="3" t="s">
        <v>147</v>
      </c>
      <c r="F44" s="4"/>
      <c r="G44" s="4"/>
      <c r="H44" s="5" t="n">
        <v>4.5</v>
      </c>
      <c r="I44" s="4"/>
      <c r="J44" s="4"/>
      <c r="K44" s="6" t="str">
        <f aca="false">IF(AND(ISNUMBER(G44),ISNUMBER(I44),ISNUMBER(J44)),(J44-I44)/(G44-1),"")</f>
        <v/>
      </c>
      <c r="L44" s="3" t="s">
        <v>30</v>
      </c>
      <c r="M44" s="7" t="s">
        <v>148</v>
      </c>
      <c r="N44" s="4" t="n">
        <v>195</v>
      </c>
      <c r="O44" s="4" t="n">
        <v>1400</v>
      </c>
      <c r="P44" s="7" t="s">
        <v>149</v>
      </c>
      <c r="Q44" s="6" t="str">
        <f aca="false">IF(AND(ISNUMBER(G44),ISNUMBER(N44),ISNUMBER(O44),N44&gt;0),(O44-N44)/(G44-1),"")</f>
        <v/>
      </c>
    </row>
    <row r="45" customFormat="false" ht="15" hidden="false" customHeight="true" outlineLevel="0" collapsed="false">
      <c r="A45" s="3" t="n">
        <v>44</v>
      </c>
      <c r="B45" s="3" t="s">
        <v>145</v>
      </c>
      <c r="C45" s="3" t="s">
        <v>150</v>
      </c>
      <c r="D45" s="3" t="s">
        <v>95</v>
      </c>
      <c r="E45" s="3" t="s">
        <v>147</v>
      </c>
      <c r="F45" s="4"/>
      <c r="G45" s="4"/>
      <c r="H45" s="5"/>
      <c r="I45" s="4"/>
      <c r="J45" s="4"/>
      <c r="K45" s="6" t="str">
        <f aca="false">IF(AND(ISNUMBER(G45),ISNUMBER(I45),ISNUMBER(J45)),(J45-I45)/(G45-1),"")</f>
        <v/>
      </c>
      <c r="L45" s="3" t="s">
        <v>30</v>
      </c>
      <c r="M45" s="7" t="s">
        <v>151</v>
      </c>
      <c r="N45" s="4"/>
      <c r="O45" s="4"/>
      <c r="P45" s="7"/>
      <c r="Q45" s="6" t="str">
        <f aca="false">IF(AND(ISNUMBER(G45),ISNUMBER(N45),ISNUMBER(O45),N45&gt;0),(O45-N45)/(G45-1),"")</f>
        <v/>
      </c>
    </row>
    <row r="46" customFormat="false" ht="15" hidden="false" customHeight="true" outlineLevel="0" collapsed="false">
      <c r="A46" s="3" t="n">
        <v>45</v>
      </c>
      <c r="B46" s="3" t="s">
        <v>152</v>
      </c>
      <c r="C46" s="3" t="s">
        <v>153</v>
      </c>
      <c r="D46" s="3" t="s">
        <v>95</v>
      </c>
      <c r="E46" s="3" t="s">
        <v>154</v>
      </c>
      <c r="F46" s="4"/>
      <c r="G46" s="4"/>
      <c r="H46" s="5"/>
      <c r="I46" s="4"/>
      <c r="J46" s="4"/>
      <c r="K46" s="6" t="str">
        <f aca="false">IF(AND(ISNUMBER(G46),ISNUMBER(I46),ISNUMBER(J46)),(J46-I46)/(G46-1),"")</f>
        <v/>
      </c>
      <c r="L46" s="3" t="s">
        <v>30</v>
      </c>
      <c r="M46" s="7" t="s">
        <v>151</v>
      </c>
      <c r="N46" s="4" t="n">
        <v>180</v>
      </c>
      <c r="O46" s="4" t="n">
        <v>1050</v>
      </c>
      <c r="P46" s="7" t="s">
        <v>155</v>
      </c>
      <c r="Q46" s="6" t="str">
        <f aca="false">IF(AND(ISNUMBER(G46),ISNUMBER(N46),ISNUMBER(O46),N46&gt;0),(O46-N46)/(G46-1),"")</f>
        <v/>
      </c>
    </row>
    <row r="47" customFormat="false" ht="15" hidden="false" customHeight="true" outlineLevel="0" collapsed="false">
      <c r="A47" s="3" t="n">
        <v>46</v>
      </c>
      <c r="B47" s="3" t="s">
        <v>62</v>
      </c>
      <c r="C47" s="3" t="s">
        <v>156</v>
      </c>
      <c r="D47" s="3" t="s">
        <v>95</v>
      </c>
      <c r="E47" s="3" t="s">
        <v>157</v>
      </c>
      <c r="F47" s="4"/>
      <c r="G47" s="4"/>
      <c r="H47" s="5" t="n">
        <v>5</v>
      </c>
      <c r="I47" s="4"/>
      <c r="J47" s="4"/>
      <c r="K47" s="6" t="str">
        <f aca="false">IF(AND(ISNUMBER(G47),ISNUMBER(I47),ISNUMBER(J47)),(J47-I47)/(G47-1),"")</f>
        <v/>
      </c>
      <c r="L47" s="3" t="s">
        <v>21</v>
      </c>
      <c r="M47" s="7" t="s">
        <v>158</v>
      </c>
      <c r="N47" s="4" t="n">
        <v>235</v>
      </c>
      <c r="O47" s="4" t="n">
        <v>1035</v>
      </c>
      <c r="P47" s="7" t="s">
        <v>159</v>
      </c>
      <c r="Q47" s="6" t="str">
        <f aca="false">IF(AND(ISNUMBER(G47),ISNUMBER(N47),ISNUMBER(O47),N47&gt;0),(O47-N47)/(G47-1),"")</f>
        <v/>
      </c>
    </row>
    <row r="48" customFormat="false" ht="15" hidden="false" customHeight="true" outlineLevel="0" collapsed="false">
      <c r="A48" s="3" t="n">
        <v>47</v>
      </c>
      <c r="B48" s="3" t="s">
        <v>160</v>
      </c>
      <c r="C48" s="3" t="s">
        <v>161</v>
      </c>
      <c r="D48" s="3" t="s">
        <v>95</v>
      </c>
      <c r="E48" s="3" t="s">
        <v>162</v>
      </c>
      <c r="F48" s="4"/>
      <c r="G48" s="4"/>
      <c r="H48" s="5"/>
      <c r="I48" s="4"/>
      <c r="J48" s="4"/>
      <c r="K48" s="6" t="str">
        <f aca="false">IF(AND(ISNUMBER(G48),ISNUMBER(I48),ISNUMBER(J48)),(J48-I48)/(G48-1),"")</f>
        <v/>
      </c>
      <c r="L48" s="3" t="s">
        <v>30</v>
      </c>
      <c r="M48" s="7" t="s">
        <v>151</v>
      </c>
      <c r="N48" s="4" t="n">
        <v>180</v>
      </c>
      <c r="O48" s="4" t="n">
        <v>803</v>
      </c>
      <c r="P48" s="7" t="s">
        <v>163</v>
      </c>
      <c r="Q48" s="6" t="str">
        <f aca="false">IF(AND(ISNUMBER(G48),ISNUMBER(N48),ISNUMBER(O48),N48&gt;0),(O48-N48)/(G48-1),"")</f>
        <v/>
      </c>
    </row>
    <row r="49" customFormat="false" ht="15" hidden="false" customHeight="true" outlineLevel="0" collapsed="false">
      <c r="A49" s="3" t="n">
        <v>48</v>
      </c>
      <c r="B49" s="3" t="s">
        <v>164</v>
      </c>
      <c r="C49" s="3" t="s">
        <v>165</v>
      </c>
      <c r="D49" s="3" t="s">
        <v>95</v>
      </c>
      <c r="E49" s="3" t="s">
        <v>154</v>
      </c>
      <c r="F49" s="4"/>
      <c r="G49" s="4"/>
      <c r="H49" s="5"/>
      <c r="I49" s="4"/>
      <c r="J49" s="4"/>
      <c r="K49" s="6" t="str">
        <f aca="false">IF(AND(ISNUMBER(G49),ISNUMBER(I49),ISNUMBER(J49)),(J49-I49)/(G49-1),"")</f>
        <v/>
      </c>
      <c r="L49" s="3" t="s">
        <v>30</v>
      </c>
      <c r="M49" s="7" t="s">
        <v>151</v>
      </c>
      <c r="N49" s="4"/>
      <c r="O49" s="4"/>
      <c r="P49" s="7"/>
      <c r="Q49" s="6" t="str">
        <f aca="false">IF(AND(ISNUMBER(G49),ISNUMBER(N49),ISNUMBER(O49),N49&gt;0),(O49-N49)/(G49-1),"")</f>
        <v/>
      </c>
    </row>
    <row r="50" customFormat="false" ht="15" hidden="false" customHeight="true" outlineLevel="0" collapsed="false">
      <c r="A50" s="3" t="n">
        <v>49</v>
      </c>
      <c r="B50" s="3" t="s">
        <v>166</v>
      </c>
      <c r="C50" s="3" t="s">
        <v>167</v>
      </c>
      <c r="D50" s="3" t="s">
        <v>95</v>
      </c>
      <c r="E50" s="3" t="s">
        <v>96</v>
      </c>
      <c r="F50" s="4"/>
      <c r="G50" s="4"/>
      <c r="H50" s="5"/>
      <c r="I50" s="4"/>
      <c r="J50" s="4"/>
      <c r="K50" s="6" t="str">
        <f aca="false">IF(AND(ISNUMBER(G50),ISNUMBER(I50),ISNUMBER(J50)),(J50-I50)/(G50-1),"")</f>
        <v/>
      </c>
      <c r="L50" s="3" t="s">
        <v>30</v>
      </c>
      <c r="M50" s="7" t="s">
        <v>168</v>
      </c>
      <c r="N50" s="4" t="n">
        <v>195</v>
      </c>
      <c r="O50" s="4" t="n">
        <v>1110</v>
      </c>
      <c r="P50" s="7" t="s">
        <v>155</v>
      </c>
      <c r="Q50" s="6" t="str">
        <f aca="false">IF(AND(ISNUMBER(G50),ISNUMBER(N50),ISNUMBER(O50),N50&gt;0),(O50-N50)/(G50-1),"")</f>
        <v/>
      </c>
    </row>
    <row r="51" customFormat="false" ht="15" hidden="false" customHeight="true" outlineLevel="0" collapsed="false">
      <c r="A51" s="3" t="n">
        <v>50</v>
      </c>
      <c r="B51" s="3" t="s">
        <v>169</v>
      </c>
      <c r="C51" s="3" t="s">
        <v>170</v>
      </c>
      <c r="D51" s="3" t="s">
        <v>95</v>
      </c>
      <c r="E51" s="3" t="s">
        <v>171</v>
      </c>
      <c r="F51" s="4"/>
      <c r="G51" s="4" t="n">
        <v>18</v>
      </c>
      <c r="H51" s="5"/>
      <c r="I51" s="4"/>
      <c r="J51" s="4"/>
      <c r="K51" s="6" t="str">
        <f aca="false">IF(AND(ISNUMBER(G51),ISNUMBER(I51),ISNUMBER(J51)),(J51-I51)/(G51-1),"")</f>
        <v/>
      </c>
      <c r="L51" s="3" t="s">
        <v>30</v>
      </c>
      <c r="M51" s="7" t="s">
        <v>35</v>
      </c>
      <c r="N51" s="4" t="n">
        <v>420</v>
      </c>
      <c r="O51" s="4" t="n">
        <v>1400</v>
      </c>
      <c r="P51" s="7" t="s">
        <v>172</v>
      </c>
      <c r="Q51" s="6" t="n">
        <f aca="false">IF(AND(ISNUMBER(G51),ISNUMBER(N51),ISNUMBER(O51),N51&gt;0),(O51-N51)/(G51-1),"")</f>
        <v>57.6470588235294</v>
      </c>
    </row>
  </sheetData>
  <autoFilter ref="A1:Q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8" t="s">
        <v>173</v>
      </c>
    </row>
    <row r="2" customFormat="false" ht="15" hidden="false" customHeight="true" outlineLevel="0" collapsed="false">
      <c r="A2" s="7"/>
    </row>
    <row r="3" customFormat="false" ht="15" hidden="false" customHeight="true" outlineLevel="0" collapsed="false">
      <c r="A3" s="7" t="s">
        <v>174</v>
      </c>
    </row>
    <row r="4" customFormat="false" ht="15" hidden="false" customHeight="true" outlineLevel="0" collapsed="false">
      <c r="A4" s="7" t="s">
        <v>175</v>
      </c>
    </row>
    <row r="5" customFormat="false" ht="15" hidden="false" customHeight="true" outlineLevel="0" collapsed="false">
      <c r="A5" s="7" t="s">
        <v>176</v>
      </c>
    </row>
    <row r="6" customFormat="false" ht="15" hidden="false" customHeight="true" outlineLevel="0" collapsed="false">
      <c r="A6" s="7" t="s">
        <v>177</v>
      </c>
    </row>
    <row r="7" customFormat="false" ht="15" hidden="false" customHeight="true" outlineLevel="0" collapsed="false">
      <c r="A7" s="7"/>
    </row>
    <row r="8" customFormat="false" ht="15" hidden="false" customHeight="true" outlineLevel="0" collapsed="false">
      <c r="A8" s="7" t="s">
        <v>178</v>
      </c>
    </row>
    <row r="9" customFormat="false" ht="15" hidden="false" customHeight="true" outlineLevel="0" collapsed="false">
      <c r="A9" s="7"/>
    </row>
    <row r="10" customFormat="false" ht="23.25" hidden="false" customHeight="true" outlineLevel="0" collapsed="false">
      <c r="A10" s="7" t="s">
        <v>179</v>
      </c>
    </row>
    <row r="11" customFormat="false" ht="15" hidden="false" customHeight="true" outlineLevel="0" collapsed="false">
      <c r="A11" s="7" t="s">
        <v>180</v>
      </c>
    </row>
    <row r="12" customFormat="false" ht="15" hidden="false" customHeight="true" outlineLevel="0" collapsed="false">
      <c r="A12" s="7"/>
    </row>
    <row r="13" customFormat="false" ht="23.25" hidden="false" customHeight="true" outlineLevel="0" collapsed="false">
      <c r="A13" s="7" t="s">
        <v>181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 t="s">
        <v>182</v>
      </c>
    </row>
    <row r="16" customFormat="false" ht="23.85" hidden="false" customHeight="false" outlineLevel="0" collapsed="false">
      <c r="A16" s="7" t="s">
        <v>183</v>
      </c>
    </row>
    <row r="17" customFormat="false" ht="15" hidden="false" customHeight="false" outlineLevel="0" collapsed="false">
      <c r="A17" s="7" t="s">
        <v>184</v>
      </c>
    </row>
    <row r="18" customFormat="false" ht="23.85" hidden="false" customHeight="false" outlineLevel="0" collapsed="false">
      <c r="A18" s="7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2026-10-05T09:09:40Z</dcterms:created>
  <dc:creator>openpyxl</dc:creator>
  <dc:description/>
  <dc:language>en-US</dc:language>
  <cp:lastModifiedBy/>
  <dcterms:modified xsi:type="dcterms:W3CDTF">2026-10-05T09:16:50Z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